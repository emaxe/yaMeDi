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Операционные показатели" sheetId="1" r:id="rId1"/>
  </sheets>
  <calcPr refMode="A1"/>
</workbook>
</file>

<file path=xl/comments1.xml><?xml version="1.0" encoding="utf-8"?>
<comments xmlns="http://schemas.openxmlformats.org/spreadsheetml/2006/main">
  <authors>
    <author>tc={34041fdf-065e-4357-8315-ebadeab4120a}</author>
    <author>tc={9c62e7c4-452f-48ef-9587-48cbea043fcc}</author>
    <author>tc={d868ca92-cf0a-442f-8581-3d3cc45cef40}</author>
    <author>tc={247d42a8-4171-4432-8226-a6d21e697526}</author>
    <author>tc={1047007b-10ac-4e19-99a8-c6e629b2890e}</author>
    <author>tc={4937056f-1f10-43b6-a373-4ee7c0b13730}</author>
    <author>tc={f14136bf-dc8e-4dd6-bff2-e97f32bb5d7a}</author>
    <author>tc={f6d1e05b-d2ea-4747-8bef-7370aec05fc4}</author>
    <author>tc={a7db9941-62ec-4ef4-b6a3-b056e334dc33}</author>
    <author>tc={8487bbff-f0c2-4d43-8120-73a35a51fd2d}</author>
  </authors>
  <commentList>
    <comment shapeId="0" authorId="0" ref="A1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 Доход по избранным целям
</t>
        </r>
      </text>
    </comment>
    <comment shapeId="0" authorId="1" ref="A8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  Доход по избранным целям
</t>
        </r>
      </text>
    </comment>
    <comment shapeId="0" authorId="2" ref="A9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 Достижения избранных целей
</t>
        </r>
      </text>
    </comment>
    <comment shapeId="0" authorId="3" ref="A21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 Доход по избранным целям
</t>
        </r>
      </text>
    </comment>
    <comment shapeId="0" authorId="4" ref="A22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 Достижения избранных целей
</t>
        </r>
      </text>
    </comment>
    <comment shapeId="0" authorId="5" ref="A24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Метрика. Посетители
</t>
        </r>
      </text>
    </comment>
    <comment shapeId="0" authorId="6" ref="A25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#Добавить в корзину (клик)
</t>
        </r>
      </text>
    </comment>
    <comment shapeId="0" authorId="7" ref="A26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Ecommerce: покупка
</t>
        </r>
      </text>
    </comment>
    <comment shapeId="0" authorId="8" ref="A27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Конверсия
Из Добавить в корзину (клик)
В Ecommerce: покупка
Reply:
	Ecomm (достиж избр целей) / добав в корзину (достижение целей)
</t>
        </r>
      </text>
    </comment>
    <comment shapeId="0" authorId="9" ref="DE28">
      <text>
        <r>
          <rPr>
            <color rgb="FF000000"/>
            <sz val="10"/>
            <rFont val="Arial"/>
            <charset val="1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Добавили с Живочата
</t>
        </r>
      </text>
    </comment>
  </commentList>
</comments>
</file>

<file path=xl/sharedStrings.xml><?xml version="1.0" encoding="utf-8"?>
<sst xmlns="http://schemas.openxmlformats.org/spreadsheetml/2006/main" count="263" uniqueCount="263">
  <si>
    <t>ОТЧЕТ основной</t>
  </si>
  <si>
    <t>Отчет Email-рассылка</t>
  </si>
  <si>
    <t>Яндекс Метрика - источники, сводка, атрибуция автоматическая, метрики - доход и кол-во покупкок (не цели), SEO трафик - посетители</t>
  </si>
  <si>
    <t>АРТ ТЕКС</t>
  </si>
  <si>
    <t>Май 2026</t>
  </si>
  <si>
    <t>25.05-31.05</t>
  </si>
  <si>
    <t>18.05-24.05</t>
  </si>
  <si>
    <t>11.05-17.05</t>
  </si>
  <si>
    <t>04.05-10.05</t>
  </si>
  <si>
    <t>01.05-03.05</t>
  </si>
  <si>
    <t>27-3</t>
  </si>
  <si>
    <t>Апрель 2026</t>
  </si>
  <si>
    <t>27.04-30.04</t>
  </si>
  <si>
    <t>20.04-26.04</t>
  </si>
  <si>
    <t>13.04-19.04</t>
  </si>
  <si>
    <t>06.04-12.04</t>
  </si>
  <si>
    <t>01.04-05.04</t>
  </si>
  <si>
    <t>Март 2026</t>
  </si>
  <si>
    <t>30.03-31.03</t>
  </si>
  <si>
    <t>23.03-29.03</t>
  </si>
  <si>
    <t>16.03-22.03</t>
  </si>
  <si>
    <t>09.03-15.03</t>
  </si>
  <si>
    <t>02.03-08.06</t>
  </si>
  <si>
    <t>Февраль 2026</t>
  </si>
  <si>
    <t>23.02-28.02</t>
  </si>
  <si>
    <t>16.02-22.02</t>
  </si>
  <si>
    <t>09.02-15.02</t>
  </si>
  <si>
    <t>02.02-08.02</t>
  </si>
  <si>
    <t>Январь 2026</t>
  </si>
  <si>
    <t>26.01-31.01</t>
  </si>
  <si>
    <t>19.01-25.01</t>
  </si>
  <si>
    <t>12.01-18.01</t>
  </si>
  <si>
    <t>05.01-11.01</t>
  </si>
  <si>
    <t>01.01-04.01</t>
  </si>
  <si>
    <t>Декабрь 2025</t>
  </si>
  <si>
    <t>29.12-31.12</t>
  </si>
  <si>
    <t>22.12-28.12</t>
  </si>
  <si>
    <t>15.12-21.12</t>
  </si>
  <si>
    <t>08.12-14.12</t>
  </si>
  <si>
    <t>01.12.-07.12</t>
  </si>
  <si>
    <t>Ноябрь 2025</t>
  </si>
  <si>
    <t>24.11-30.11</t>
  </si>
  <si>
    <t>17.11-23.11</t>
  </si>
  <si>
    <t>10.11-16.11</t>
  </si>
  <si>
    <t>03.11-09.11</t>
  </si>
  <si>
    <t>01.11-02.11</t>
  </si>
  <si>
    <t>Октябрь 2025</t>
  </si>
  <si>
    <t>27.10-31.10</t>
  </si>
  <si>
    <t>20.10-26.10</t>
  </si>
  <si>
    <t>11.10-19.10</t>
  </si>
  <si>
    <t>06.10-12.10</t>
  </si>
  <si>
    <t>01.10-05.10</t>
  </si>
  <si>
    <t>Сентябрь 2025</t>
  </si>
  <si>
    <t>29.09-30.09</t>
  </si>
  <si>
    <t>22.09-28.09</t>
  </si>
  <si>
    <t>15.09-21.09</t>
  </si>
  <si>
    <t>08.09-14.09</t>
  </si>
  <si>
    <t>01.09-07.09</t>
  </si>
  <si>
    <t>Август 2025</t>
  </si>
  <si>
    <t>25.08-31.08</t>
  </si>
  <si>
    <t>18.08-24.08</t>
  </si>
  <si>
    <t>11.08-17.08</t>
  </si>
  <si>
    <t>04.08-10.08</t>
  </si>
  <si>
    <t>01.08-03.08</t>
  </si>
  <si>
    <t>Июль 2025</t>
  </si>
  <si>
    <t>28.07-31.07</t>
  </si>
  <si>
    <t>21.07-27.07</t>
  </si>
  <si>
    <t>14.07-20.07</t>
  </si>
  <si>
    <t>07.07-13.07</t>
  </si>
  <si>
    <t>01.07-06.07</t>
  </si>
  <si>
    <t>Июнь 2025</t>
  </si>
  <si>
    <t>23.06-29.06</t>
  </si>
  <si>
    <t>16.06-22.06</t>
  </si>
  <si>
    <t>09.06-15.06</t>
  </si>
  <si>
    <t>02.06-08.06</t>
  </si>
  <si>
    <t>Май 2025</t>
  </si>
  <si>
    <t>26.05-31.05</t>
  </si>
  <si>
    <t>19.05-25.05</t>
  </si>
  <si>
    <t>12.05-18.05</t>
  </si>
  <si>
    <t>05.05-11.05</t>
  </si>
  <si>
    <t>01.05-04.05</t>
  </si>
  <si>
    <t>Апрель 2025</t>
  </si>
  <si>
    <t>28.04-30.04</t>
  </si>
  <si>
    <t>21.04-27.04</t>
  </si>
  <si>
    <t>14.04-20.04</t>
  </si>
  <si>
    <t>07.04-13.04</t>
  </si>
  <si>
    <t>01.04-06.04</t>
  </si>
  <si>
    <t>Март 2025</t>
  </si>
  <si>
    <t>24.03.-30.03</t>
  </si>
  <si>
    <t>17.03.-23.03.</t>
  </si>
  <si>
    <t>10.03.-16.03.</t>
  </si>
  <si>
    <t>3.03.-9.03.</t>
  </si>
  <si>
    <t>1.03.-2.03</t>
  </si>
  <si>
    <t>Февраль 2025</t>
  </si>
  <si>
    <t>24.02.-28.02.</t>
  </si>
  <si>
    <t>17.02.-23.02.</t>
  </si>
  <si>
    <t>10.02.-16.02.</t>
  </si>
  <si>
    <t>3.02.-9.02.</t>
  </si>
  <si>
    <t>1.02.-2.02.</t>
  </si>
  <si>
    <t>Январь 2025</t>
  </si>
  <si>
    <t>27.01.-31.01.</t>
  </si>
  <si>
    <t>20.01.-26.01.</t>
  </si>
  <si>
    <t>13.01.-19.01.</t>
  </si>
  <si>
    <t>6.01.-12.01.</t>
  </si>
  <si>
    <t>1.01.-5.01.</t>
  </si>
  <si>
    <t>Декабрь</t>
  </si>
  <si>
    <t>30.12.-31.12.</t>
  </si>
  <si>
    <t>23.12.-29.12.</t>
  </si>
  <si>
    <t>16.12.-22.12.</t>
  </si>
  <si>
    <t>09.12.-15.12.</t>
  </si>
  <si>
    <t>02.12.-08.12.</t>
  </si>
  <si>
    <t>Ноябрь</t>
  </si>
  <si>
    <t>25.11.-30.11.</t>
  </si>
  <si>
    <t>18.11.-24.11.</t>
  </si>
  <si>
    <t>11.11.-17.11.</t>
  </si>
  <si>
    <t>04.11.-10.11.</t>
  </si>
  <si>
    <t>01.11.-03.11.</t>
  </si>
  <si>
    <t>Октябрь</t>
  </si>
  <si>
    <t>28.10.-31.10.</t>
  </si>
  <si>
    <t>21.10.-27.10.</t>
  </si>
  <si>
    <t>14.10.-20.10.</t>
  </si>
  <si>
    <t>07.10.-13.10.</t>
  </si>
  <si>
    <t>01.10.-06.10.</t>
  </si>
  <si>
    <t>Сентябрь</t>
  </si>
  <si>
    <t>23.09-30.09</t>
  </si>
  <si>
    <t>16.09-22.09</t>
  </si>
  <si>
    <t>09.09-15.09</t>
  </si>
  <si>
    <t>01.09-08.09</t>
  </si>
  <si>
    <t>Август</t>
  </si>
  <si>
    <t>12-18</t>
  </si>
  <si>
    <t>19-25</t>
  </si>
  <si>
    <t>26-31</t>
  </si>
  <si>
    <t>Июль</t>
  </si>
  <si>
    <t>8-14</t>
  </si>
  <si>
    <t>15-21</t>
  </si>
  <si>
    <t>22-31</t>
  </si>
  <si>
    <t>Июнь</t>
  </si>
  <si>
    <t>10-16</t>
  </si>
  <si>
    <t>17-23</t>
  </si>
  <si>
    <t>24-30</t>
  </si>
  <si>
    <t>Май</t>
  </si>
  <si>
    <t>13-19</t>
  </si>
  <si>
    <t>20-26</t>
  </si>
  <si>
    <t>27-31</t>
  </si>
  <si>
    <t>Апрель</t>
  </si>
  <si>
    <t>1.04-7.04</t>
  </si>
  <si>
    <t>8.04-14.04</t>
  </si>
  <si>
    <t>15.04-21.04</t>
  </si>
  <si>
    <t>22.04-30.04</t>
  </si>
  <si>
    <t>План</t>
  </si>
  <si>
    <t>Факт</t>
  </si>
  <si>
    <t>28.07-03.08</t>
  </si>
  <si>
    <t>Бюджет</t>
  </si>
  <si>
    <t>Выручка ИМ (всего)</t>
  </si>
  <si>
    <t>Кол-во продаж ИМ (всего)</t>
  </si>
  <si>
    <t>Ср.чек ИМ (всего)</t>
  </si>
  <si>
    <t>CPA</t>
  </si>
  <si>
    <t>ДРР ИМ  (всего)</t>
  </si>
  <si>
    <t>ROMI ИМ (всего)</t>
  </si>
  <si>
    <t xml:space="preserve">Я.Директ Выручка </t>
  </si>
  <si>
    <t xml:space="preserve">Я.Директ Кол-во продаж </t>
  </si>
  <si>
    <r>
      <rPr>
        <color rgb="FF000000"/>
        <sz val="10"/>
        <rFont val="Roboto"/>
        <charset val="1"/>
      </rPr>
      <t>Ср.чек</t>
    </r>
    <r>
      <rPr>
        <color rgb="FF000000"/>
        <sz val="10"/>
        <rFont val="Roboto"/>
        <charset val="1"/>
      </rPr>
      <t xml:space="preserve"> Я.Директ</t>
    </r>
  </si>
  <si>
    <t>Я.Директ_CPA</t>
  </si>
  <si>
    <t>ВК Таргет_CPC (ср)</t>
  </si>
  <si>
    <t>ВК Таргет_ст-ть подписчика</t>
  </si>
  <si>
    <t>ВК_обращения в лид-форму</t>
  </si>
  <si>
    <t>SEO выручка</t>
  </si>
  <si>
    <t>SEO кол-во продаж</t>
  </si>
  <si>
    <t>120</t>
  </si>
  <si>
    <t>150</t>
  </si>
  <si>
    <t>130</t>
  </si>
  <si>
    <t>26</t>
  </si>
  <si>
    <t>33</t>
  </si>
  <si>
    <t>35</t>
  </si>
  <si>
    <t>170</t>
  </si>
  <si>
    <r>
      <rPr>
        <color rgb="FF000000"/>
        <sz val="10"/>
        <rFont val="Roboto"/>
        <charset val="1"/>
      </rPr>
      <t>Ср.чек</t>
    </r>
    <r>
      <rPr>
        <color rgb="FF000000"/>
        <sz val="10"/>
        <rFont val="Roboto"/>
        <charset val="1"/>
      </rPr>
      <t xml:space="preserve"> SEO</t>
    </r>
  </si>
  <si>
    <t>SEO Трафик</t>
  </si>
  <si>
    <t>13000</t>
  </si>
  <si>
    <t>20 000</t>
  </si>
  <si>
    <t>3354</t>
  </si>
  <si>
    <t>3999</t>
  </si>
  <si>
    <t>4362</t>
  </si>
  <si>
    <t>4192</t>
  </si>
  <si>
    <t>1096</t>
  </si>
  <si>
    <t>3283</t>
  </si>
  <si>
    <t>4147</t>
  </si>
  <si>
    <t>4294</t>
  </si>
  <si>
    <t>3664</t>
  </si>
  <si>
    <t>1912</t>
  </si>
  <si>
    <t>440</t>
  </si>
  <si>
    <t>2597</t>
  </si>
  <si>
    <t>3117</t>
  </si>
  <si>
    <t>3459</t>
  </si>
  <si>
    <t>3904</t>
  </si>
  <si>
    <t>585</t>
  </si>
  <si>
    <t>4550</t>
  </si>
  <si>
    <t>4245</t>
  </si>
  <si>
    <t>3522</t>
  </si>
  <si>
    <t>3774</t>
  </si>
  <si>
    <t>Конверсия сайта в корзину, С1</t>
  </si>
  <si>
    <t>4,93%%</t>
  </si>
  <si>
    <t xml:space="preserve">2,24 %
</t>
  </si>
  <si>
    <t>2,2 %</t>
  </si>
  <si>
    <t>3,44 %</t>
  </si>
  <si>
    <t>3,48 %</t>
  </si>
  <si>
    <t xml:space="preserve">3,1 %
</t>
  </si>
  <si>
    <t xml:space="preserve">2,91 %
</t>
  </si>
  <si>
    <t>2,91 %</t>
  </si>
  <si>
    <t>-</t>
  </si>
  <si>
    <t>3,23 %</t>
  </si>
  <si>
    <t>3,39 %</t>
  </si>
  <si>
    <t>3,27 %</t>
  </si>
  <si>
    <t>2,88 %</t>
  </si>
  <si>
    <t>Конверсия сайта в заказ, С2</t>
  </si>
  <si>
    <t>0,85%%</t>
  </si>
  <si>
    <t>0,65 %</t>
  </si>
  <si>
    <t>0,19 %</t>
  </si>
  <si>
    <t>0,63 %</t>
  </si>
  <si>
    <t>0,58 %</t>
  </si>
  <si>
    <t xml:space="preserve">0,5 %
</t>
  </si>
  <si>
    <t xml:space="preserve">0,7 %
</t>
  </si>
  <si>
    <t xml:space="preserve">0,53 %
</t>
  </si>
  <si>
    <t>0,76 %</t>
  </si>
  <si>
    <t>0,7 %</t>
  </si>
  <si>
    <t>0,77 %</t>
  </si>
  <si>
    <t>0,69 %</t>
  </si>
  <si>
    <t>0,52 %</t>
  </si>
  <si>
    <t>Конверсия из корзины в заказ, С3</t>
  </si>
  <si>
    <t>База с сайта_собрано контактов</t>
  </si>
  <si>
    <t>Email выручка</t>
  </si>
  <si>
    <t>Email - писем открыто</t>
  </si>
  <si>
    <t>Email - конверсия в переходы на сайт</t>
  </si>
  <si>
    <t>Задачи</t>
  </si>
  <si>
    <t>SEO_кол-во задач в работе</t>
  </si>
  <si>
    <t>SEO_куплено ссылок</t>
  </si>
  <si>
    <t>SEO_опубликовано статей на сайте</t>
  </si>
  <si>
    <t>Я.Директ_анализ конкурентов</t>
  </si>
  <si>
    <t>Я.Директ_оптимизация РК</t>
  </si>
  <si>
    <t>Отзывы_написано</t>
  </si>
  <si>
    <t>Отзывы_опубликовано</t>
  </si>
  <si>
    <t>Таргет_оптимизация РК</t>
  </si>
  <si>
    <t>Таргет_анализ конкурентов</t>
  </si>
  <si>
    <t>E-mail отправлено писем</t>
  </si>
  <si>
    <t>выручка ИМ (всего)</t>
  </si>
  <si>
    <t>ср.чек ИМ (всего)</t>
  </si>
  <si>
    <t xml:space="preserve">Я.Директ кол-во продаж </t>
  </si>
  <si>
    <r>
      <rPr>
        <color rgb="FF000000"/>
        <sz val="10"/>
        <rFont val="Roboto"/>
        <charset val="1"/>
      </rPr>
      <t xml:space="preserve">Ср.чек </t>
    </r>
    <r>
      <rPr>
        <color rgb="FF000000"/>
        <sz val="10"/>
        <rFont val="Roboto"/>
        <charset val="1"/>
      </rPr>
      <t xml:space="preserve"> SEO</t>
    </r>
  </si>
  <si>
    <t>SEO</t>
  </si>
  <si>
    <t>SEO трафик</t>
  </si>
  <si>
    <t>Ссылки размещены</t>
  </si>
  <si>
    <t>Статьи размещены</t>
  </si>
  <si>
    <t xml:space="preserve">4352
</t>
  </si>
  <si>
    <t>Процент ядра в топ 10 Яндекс</t>
  </si>
  <si>
    <t>Процент ядра в топ 10 Google</t>
  </si>
  <si>
    <t>Маркетинг</t>
  </si>
  <si>
    <t>Аудит сайта</t>
  </si>
  <si>
    <t>Настройка точек контакта</t>
  </si>
  <si>
    <t>Отзывы</t>
  </si>
  <si>
    <t>Аудиты</t>
  </si>
  <si>
    <t>Технический SEO аудит</t>
  </si>
  <si>
    <t>Конкурентный SEO аудит</t>
  </si>
  <si>
    <t>Конкурентный директ аудит</t>
  </si>
  <si>
    <t>Аудит от Яндекса</t>
  </si>
</sst>
</file>

<file path=xl/styles.xml><?xml version="1.0" encoding="utf-8"?>
<styleSheet xmlns="http://schemas.openxmlformats.org/spreadsheetml/2006/main">
  <numFmts count="9">
    <numFmt formatCode="dd\.mm\.yyyy" numFmtId="164"/>
    <numFmt formatCode="dd\.mm\.yy" numFmtId="165"/>
    <numFmt formatCode="dd\.mm" numFmtId="166"/>
    <numFmt formatCode="dd\.mm\." numFmtId="167"/>
    <numFmt formatCode="dd\-mm" numFmtId="168"/>
    <numFmt formatCode="d\-m" numFmtId="169"/>
    <numFmt formatCode="#,##0[$ ₽]" numFmtId="170"/>
    <numFmt formatCode="#,##0.00[$ ₽]" numFmtId="171"/>
    <numFmt formatCode="#,##0;\(#,##0\)" numFmtId="172"/>
  </numFmts>
  <fonts count="12">
    <font>
      <color rgb="FF000000"/>
      <sz val="10"/>
      <name val="Arial"/>
      <charset val="1"/>
    </font>
    <font>
      <color rgb="FF0000FF"/>
      <sz val="10"/>
      <name val="Roboto"/>
      <charset val="1"/>
      <u/>
    </font>
    <font>
      <color rgb="FF000000"/>
      <sz val="10"/>
      <name val="Roboto"/>
      <charset val="1"/>
    </font>
    <font>
      <color rgb="FF000000"/>
      <sz val="10"/>
      <name val="Roboto"/>
      <charset val="1"/>
      <i/>
    </font>
    <font>
      <color rgb="FF000000"/>
      <sz val="15"/>
      <name val="Roboto"/>
      <charset val="1"/>
      <b/>
    </font>
    <font>
      <color rgb="FF000000"/>
      <sz val="10"/>
      <name val="Roboto"/>
      <charset val="1"/>
      <b/>
    </font>
    <font>
      <color rgb="FF000000"/>
      <sz val="10"/>
      <name val="Arial"/>
      <charset val="1"/>
    </font>
    <font>
      <color rgb="FFFFFFFF"/>
      <sz val="10"/>
      <name val="Roboto"/>
      <charset val="1"/>
      <b/>
    </font>
    <font>
      <color rgb="FF000000"/>
      <sz val="10"/>
      <name val="Arial"/>
      <charset val="1"/>
      <b/>
    </font>
    <font>
      <color rgb="FFFF0000"/>
      <sz val="10"/>
      <name val="Roboto"/>
      <charset val="1"/>
      <b/>
    </font>
    <font>
      <color rgb="FFFF0000"/>
      <sz val="10"/>
      <name val="Roboto"/>
      <charset val="1"/>
    </font>
    <font>
      <color rgb="FF999999"/>
      <sz val="10"/>
      <name val="Roboto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8FF"/>
        <bgColor rgb="FFE5E8FF"/>
      </patternFill>
    </fill>
    <fill>
      <patternFill patternType="solid">
        <fgColor rgb="FF6D9EEB"/>
        <bgColor rgb="FF6D9EEB"/>
      </patternFill>
    </fill>
    <fill>
      <patternFill patternType="solid">
        <fgColor rgb="FFF6F5FB"/>
        <bgColor rgb="FFF6F5FB"/>
      </patternFill>
    </fill>
    <fill>
      <patternFill patternType="solid">
        <fgColor rgb="FFFFD6DD"/>
        <bgColor rgb="FFFFD6DD"/>
      </patternFill>
    </fill>
    <fill>
      <patternFill patternType="solid">
        <fgColor rgb="FF4A40BA"/>
        <bgColor rgb="FF4A40BA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6082E"/>
        <bgColor rgb="FFF6082E"/>
      </patternFill>
    </fill>
    <fill>
      <patternFill patternType="solid">
        <fgColor rgb="FFD9EAD3"/>
        <bgColor rgb="FFD9EAD3"/>
      </patternFill>
    </fill>
  </fills>
  <borders count="7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borderId="0" fillId="0" fontId="0" numFmtId="0"/>
  </cellStyleXfs>
  <cellXfs count="62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3" fontId="4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4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4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6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7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8" fillId="2" fontId="5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9" fillId="4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0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8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1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2" fillId="2" fontId="5" numFmtId="164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3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8" fillId="2" fontId="5" numFmtId="165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3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6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2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4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6" fillId="4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7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5" fontId="5" numFmtId="166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5" fontId="5" numFmtId="164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5" fontId="5" numFmtId="167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6" fillId="4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8" fillId="5" fontId="5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4" fillId="5" fontId="5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4" fillId="5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5" fillId="5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9" fillId="5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4" fillId="5" fontId="5" numFmtId="168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4" fillId="5" fontId="5" numFmtId="16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4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1" fillId="5" fontId="5" numFmtId="168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1" fillId="5" fontId="5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5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2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3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5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6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7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8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7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2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9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0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2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3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9" fillId="5" fontId="5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34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5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6" fillId="6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4" fillId="6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6" fillId="6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7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6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7" fillId="6" fontId="5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8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9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0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1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2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3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2" fillId="7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3" fillId="7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7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7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7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7" fontId="7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6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7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8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9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7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8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2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6" fontId="5" numFmtId="4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8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2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0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2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1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3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5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3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7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7" fillId="5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5" numFmtId="4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8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5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5" fontId="5" numFmtId="171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8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8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8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5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1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5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5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5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6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6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2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2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2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6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0" fillId="6" fontId="5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8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0" fillId="6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5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5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7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1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8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0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9" fillId="6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0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2" numFmtId="1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7" fillId="5" fontId="2" numFmtId="1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2" numFmtId="1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1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1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62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1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2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0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8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7" fillId="5" fontId="2" numFmtId="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3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4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4" fillId="6" fontId="2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8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2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1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5" numFmtId="3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6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5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5" fontId="2" numFmtId="3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2" numFmtId="3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1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6" fontId="2" numFmtId="171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2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2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2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6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0" fillId="6" fontId="5" numFmtId="1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8" fillId="6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5" fontId="2" numFmtId="1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5" fontId="2" numFmtId="1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7" fillId="5" fontId="2" numFmtId="1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5" fontId="9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6" fontId="5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5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7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9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2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0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8" fillId="6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5" fillId="9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9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6" fillId="9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1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9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9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9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9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9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9" fontId="2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9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9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9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5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5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8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5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2" numFmtId="17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2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17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5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5" numFmtId="3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2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7" fillId="5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5" fontId="1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5" fontId="1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1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5" fontId="1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2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3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6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6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6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6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6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6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17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1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5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6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2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8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5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6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7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8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6" fillId="2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7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2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5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7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6" fillId="5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6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5" fontId="6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4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9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5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9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9" fillId="5" fontId="6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6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6" fillId="6" fontId="2" numFmtId="1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4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5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2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6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2" fillId="2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1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1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1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1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9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10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1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1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3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0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11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11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1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53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70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2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7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11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0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1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2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64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3" fillId="11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2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64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54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11" fontId="1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4" fillId="2" fontId="1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1" fillId="6" fontId="6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11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4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4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5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6" fillId="6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5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76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5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9" fillId="11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4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6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4" fillId="6" fontId="2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7" fillId="6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45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2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17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7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2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2" fontId="2" numFmtId="1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17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17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3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2" fontId="5" numFmtId="1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170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44" fillId="5" fontId="5" numFmtId="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1" fillId="0" fontId="6" numFmtId="171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6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_rels/vmlDrawing1.v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133350</xdr:colOff>
      <xdr:row>1</xdr:row>
      <xdr:rowOff>95250</xdr:rowOff>
    </xdr:from>
    <xdr:to>
      <xdr:col>5</xdr:col>
      <xdr:colOff>133350</xdr:colOff>
      <xdr:row>8</xdr:row>
      <xdr:rowOff>38100</xdr:rowOff>
    </xdr:to>
    <xdr:sp macro="" textlink="">
      <xdr:nvSpPr>
        <xdr:cNvPr id="11" name="Text Box 7" hidden="1"/>
        <xdr:cNvSpPr>
          <a:spLocks/>
        </xdr:cNvSpPr>
      </xdr:nvSpPr>
      <xdr:spPr>
        <a:xfrm>
          <a:off x="2457450" y="295275"/>
          <a:ext cx="3543300" cy="13430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</xdr:sp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A1:GQ1018"/>
  <sheetViews>
    <sheetView workbookViewId="0" tabSelected="true" showZeros="true" showFormulas="false" showGridLines="true" showRowColHeaders="true">
      <pane topLeftCell="B1" state="frozen" activePane="topRight" xSplit="1"/>
      <selection pane="topRight" sqref="A59" activeCell="A59"/>
    </sheetView>
  </sheetViews>
  <sheetFormatPr defaultColWidth="12.7109375" customHeight="true" defaultRowHeight="15.75"/>
  <cols>
    <col max="1" min="1" style="0" width="34.85546875" customWidth="true"/>
    <col max="3" min="2" style="0" width="13.28515625" customWidth="true"/>
    <col max="9" min="4" style="0" width="13.28515625" outlineLevel="1" customWidth="true"/>
    <col max="11" min="10" style="0" width="13.28515625" customWidth="true"/>
    <col max="16" min="12" style="0" width="13.28515625" outlineLevel="1" customWidth="true" hidden="true"/>
    <col max="18" min="17" style="0" width="13.28515625" customWidth="true"/>
    <col max="26" min="19" style="0" width="13.28515625" outlineLevel="1" customWidth="true" hidden="true"/>
    <col max="31" min="27" style="0" width="13.28515625" outlineLevel="2" customWidth="true" hidden="true"/>
    <col max="33" min="32" style="0" width="13.28515625" outlineLevel="1" customWidth="true" hidden="true"/>
    <col max="38" min="34" style="0" width="13.28515625" outlineLevel="2" customWidth="true" hidden="true"/>
    <col max="40" min="39" style="0" width="12.7109375" outlineLevel="1" customWidth="true" bestFit="true" hidden="true"/>
    <col max="45" min="41" style="0" width="12.7109375" outlineLevel="2" customWidth="true" bestFit="true" hidden="true"/>
    <col max="47" min="46" style="0" width="12.7109375" outlineLevel="1" customWidth="true" bestFit="true" hidden="true"/>
    <col max="53" min="48" style="0" width="12.7109375" outlineLevel="2" customWidth="true" bestFit="true" hidden="true"/>
    <col max="55" min="54" style="0" width="12.7109375" outlineLevel="1" customWidth="true" bestFit="true" hidden="true"/>
    <col max="61" min="56" style="0" width="12.7109375" outlineLevel="2" customWidth="true" bestFit="true" hidden="true"/>
    <col max="63" min="62" style="0" width="12.7109375" outlineLevel="1" customWidth="true" bestFit="true" hidden="true"/>
    <col max="68" min="64" style="0" width="12.7109375" outlineLevel="2" customWidth="true" bestFit="true" hidden="true"/>
    <col max="70" min="69" style="0" width="12.7109375" outlineLevel="1" customWidth="true" bestFit="true" hidden="true"/>
    <col max="76" min="71" style="0" width="12.7109375" outlineLevel="2" customWidth="true" bestFit="true" hidden="true"/>
    <col max="78" min="77" style="0" width="12.7109375" outlineLevel="1" customWidth="true" bestFit="true" hidden="true"/>
    <col max="83" min="79" style="0" width="12.7109375" outlineLevel="2" customWidth="true" bestFit="true" hidden="true"/>
    <col max="91" min="84" style="0" width="12.7109375" outlineLevel="1" customWidth="true" bestFit="true" hidden="true"/>
    <col max="92" min="92" style="0" width="12.7109375"/>
    <col max="93" min="93" style="0" width="12.7109375" customWidth="true" bestFit="true"/>
    <col max="98" min="94" style="0" width="12.7109375" outlineLevel="1" customWidth="true" bestFit="true" hidden="true"/>
    <col max="99" min="99" style="0" width="12.7109375"/>
    <col max="100" min="100" style="0" width="12.7109375" customWidth="true" bestFit="true"/>
    <col max="105" min="101" style="0" width="12.7109375" outlineLevel="1" customWidth="true" bestFit="true" hidden="true"/>
    <col max="106" min="106" style="0" width="12.7109375"/>
    <col max="107" min="107" style="0" width="12.7109375" customWidth="true" bestFit="true"/>
    <col max="113" min="108" style="0" width="12.7109375" outlineLevel="1" customWidth="true" bestFit="true" hidden="true"/>
    <col max="114" min="114" style="0" width="12.7109375"/>
    <col max="115" min="115" style="0" width="12.7109375" customWidth="true" bestFit="true"/>
    <col max="120" min="116" style="0" width="12.7109375" outlineLevel="1" customWidth="true" bestFit="true" hidden="true"/>
    <col max="121" min="121" style="0" width="12.7109375"/>
    <col max="122" min="122" style="0" width="12.7109375" customWidth="true" bestFit="true"/>
    <col max="127" min="123" style="0" width="12.7109375" outlineLevel="1" customWidth="true" bestFit="true" hidden="true"/>
    <col max="128" min="128" style="0" width="12.7109375"/>
    <col max="129" min="129" style="0" width="12.7109375" customWidth="true" bestFit="true"/>
    <col max="135" min="130" style="0" width="12.7109375" outlineLevel="1" customWidth="true" bestFit="true" hidden="true"/>
    <col max="136" min="136" style="0" width="12.7109375"/>
    <col max="137" min="137" style="0" width="12.7109375" customWidth="true" bestFit="true"/>
    <col max="142" min="138" style="0" width="12.7109375" outlineLevel="1" customWidth="true" bestFit="true" hidden="true"/>
    <col max="143" min="143" style="0" width="12.7109375"/>
    <col max="144" min="144" style="0" width="12.7109375" customWidth="true" bestFit="true"/>
    <col max="149" min="145" style="0" width="12.7109375" outlineLevel="1" customWidth="true" bestFit="true" hidden="true"/>
    <col max="150" min="150" style="0" width="12.7109375"/>
    <col max="151" min="151" style="0" width="12.7109375" customWidth="true" bestFit="true"/>
    <col max="155" min="152" style="0" width="12.7109375" outlineLevel="1" customWidth="true" bestFit="true" hidden="true"/>
    <col max="156" min="156" style="0" width="12.7109375"/>
    <col max="157" min="157" style="0" width="12.7109375" customWidth="true" bestFit="true"/>
    <col max="162" min="158" style="0" width="12.7109375" outlineLevel="1" customWidth="true" bestFit="true" hidden="true"/>
    <col max="163" min="163" style="0" width="12.7109375"/>
    <col max="164" min="164" style="0" width="12.7109375" customWidth="true" bestFit="true"/>
    <col max="168" min="165" style="0" width="12.7109375" outlineLevel="1" customWidth="true" bestFit="true" hidden="true"/>
    <col max="169" min="169" style="0" width="12.7109375"/>
    <col max="170" min="170" style="0" width="12.7109375" customWidth="true" bestFit="true"/>
    <col max="174" min="171" style="0" width="12.7109375" outlineLevel="1" customWidth="true" bestFit="true" hidden="true"/>
    <col max="175" min="175" style="0" width="12.7109375"/>
    <col max="176" min="176" style="0" width="12.7109375" customWidth="true" bestFit="true"/>
    <col max="181" min="177" style="0" width="12.7109375" outlineLevel="1" customWidth="true" bestFit="true" hidden="true"/>
    <col max="182" min="182" style="0" width="12.7109375"/>
    <col max="183" min="183" style="0" width="12.7109375" customWidth="true" bestFit="true"/>
    <col max="187" min="184" style="0" width="12.7109375" outlineLevel="1" customWidth="true" bestFit="true" hidden="true"/>
    <col max="199" min="188" style="0" width="12.7109375"/>
  </cols>
  <sheetData>
    <row r="1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4"/>
      <c r="EX1" s="3"/>
      <c r="EY1" s="3"/>
      <c r="EZ1" s="5" t="s">
        <v>1</v>
      </c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</row>
    <row r="2" ht="15.7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4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</row>
    <row r="3" ht="15.75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4"/>
      <c r="EX3" s="3"/>
      <c r="EY3" s="3"/>
      <c r="EZ3" s="3"/>
      <c r="FA3" s="3"/>
      <c r="FB3" s="8"/>
      <c r="FC3" s="8"/>
      <c r="FD3" s="8"/>
      <c r="FE3" s="8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9"/>
      <c r="FT3" s="9"/>
      <c r="FU3" s="8"/>
      <c r="FV3" s="8"/>
      <c r="FW3" s="8"/>
      <c r="FX3" s="8"/>
      <c r="FY3" s="3"/>
      <c r="FZ3" s="3"/>
      <c r="GA3" s="3"/>
      <c r="GB3" s="3"/>
      <c r="GC3" s="3"/>
      <c r="GD3" s="3"/>
      <c r="GE3" s="3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</row>
    <row r="4" ht="15.75">
      <c r="A4" s="10" t="s">
        <v>3</v>
      </c>
      <c r="B4" s="11" t="s">
        <v>4</v>
      </c>
      <c r="C4" s="12"/>
      <c r="D4" s="13" t="s">
        <v>5</v>
      </c>
      <c r="E4" s="14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7" t="s">
        <v>11</v>
      </c>
      <c r="K4" s="12"/>
      <c r="L4" s="18" t="s">
        <v>12</v>
      </c>
      <c r="M4" s="18" t="s">
        <v>13</v>
      </c>
      <c r="N4" s="18" t="s">
        <v>14</v>
      </c>
      <c r="O4" s="18" t="s">
        <v>15</v>
      </c>
      <c r="P4" s="19" t="s">
        <v>16</v>
      </c>
      <c r="Q4" s="17" t="s">
        <v>17</v>
      </c>
      <c r="R4" s="12"/>
      <c r="S4" s="20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21" t="n">
        <v>46082</v>
      </c>
      <c r="Y4" s="17" t="s">
        <v>23</v>
      </c>
      <c r="Z4" s="12"/>
      <c r="AA4" s="22" t="s">
        <v>24</v>
      </c>
      <c r="AB4" s="15" t="s">
        <v>25</v>
      </c>
      <c r="AC4" s="15" t="s">
        <v>26</v>
      </c>
      <c r="AD4" s="15" t="s">
        <v>27</v>
      </c>
      <c r="AE4" s="23" t="n">
        <v>46054</v>
      </c>
      <c r="AF4" s="11" t="s">
        <v>28</v>
      </c>
      <c r="AG4" s="12"/>
      <c r="AH4" s="24" t="s">
        <v>29</v>
      </c>
      <c r="AI4" s="25" t="s">
        <v>30</v>
      </c>
      <c r="AJ4" s="25" t="s">
        <v>31</v>
      </c>
      <c r="AK4" s="25" t="s">
        <v>32</v>
      </c>
      <c r="AL4" s="26" t="s">
        <v>33</v>
      </c>
      <c r="AM4" s="17" t="s">
        <v>34</v>
      </c>
      <c r="AN4" s="12"/>
      <c r="AO4" s="27" t="s">
        <v>35</v>
      </c>
      <c r="AP4" s="28" t="s">
        <v>36</v>
      </c>
      <c r="AQ4" s="28" t="s">
        <v>37</v>
      </c>
      <c r="AR4" s="28" t="s">
        <v>38</v>
      </c>
      <c r="AS4" s="28" t="s">
        <v>39</v>
      </c>
      <c r="AT4" s="29" t="s">
        <v>40</v>
      </c>
      <c r="AU4" s="30"/>
      <c r="AV4" s="28" t="s">
        <v>41</v>
      </c>
      <c r="AW4" s="28" t="s">
        <v>42</v>
      </c>
      <c r="AX4" s="28" t="s">
        <v>43</v>
      </c>
      <c r="AY4" s="28" t="s">
        <v>44</v>
      </c>
      <c r="AZ4" s="28" t="s">
        <v>45</v>
      </c>
      <c r="BA4" s="31"/>
      <c r="BB4" s="29" t="s">
        <v>46</v>
      </c>
      <c r="BC4" s="30"/>
      <c r="BD4" s="28" t="s">
        <v>47</v>
      </c>
      <c r="BE4" s="28" t="s">
        <v>48</v>
      </c>
      <c r="BF4" s="28" t="s">
        <v>49</v>
      </c>
      <c r="BG4" s="28" t="s">
        <v>50</v>
      </c>
      <c r="BH4" s="28" t="s">
        <v>51</v>
      </c>
      <c r="BI4" s="31"/>
      <c r="BJ4" s="29" t="s">
        <v>52</v>
      </c>
      <c r="BK4" s="30"/>
      <c r="BL4" s="28" t="s">
        <v>53</v>
      </c>
      <c r="BM4" s="28" t="s">
        <v>54</v>
      </c>
      <c r="BN4" s="28" t="s">
        <v>55</v>
      </c>
      <c r="BO4" s="28" t="s">
        <v>56</v>
      </c>
      <c r="BP4" s="28" t="s">
        <v>57</v>
      </c>
      <c r="BQ4" s="29" t="s">
        <v>58</v>
      </c>
      <c r="BR4" s="30"/>
      <c r="BS4" s="28" t="s">
        <v>59</v>
      </c>
      <c r="BT4" s="28" t="s">
        <v>60</v>
      </c>
      <c r="BU4" s="28" t="s">
        <v>61</v>
      </c>
      <c r="BV4" s="28" t="s">
        <v>62</v>
      </c>
      <c r="BW4" s="28" t="s">
        <v>63</v>
      </c>
      <c r="BX4" s="31"/>
      <c r="BY4" s="29" t="s">
        <v>64</v>
      </c>
      <c r="BZ4" s="30"/>
      <c r="CA4" s="28" t="s">
        <v>65</v>
      </c>
      <c r="CB4" s="28" t="s">
        <v>66</v>
      </c>
      <c r="CC4" s="28" t="s">
        <v>67</v>
      </c>
      <c r="CD4" s="28" t="s">
        <v>68</v>
      </c>
      <c r="CE4" s="28" t="s">
        <v>69</v>
      </c>
      <c r="CF4" s="29" t="s">
        <v>70</v>
      </c>
      <c r="CG4" s="30"/>
      <c r="CH4" s="32" t="n">
        <v>45838</v>
      </c>
      <c r="CI4" s="28" t="s">
        <v>71</v>
      </c>
      <c r="CJ4" s="28" t="s">
        <v>72</v>
      </c>
      <c r="CK4" s="28" t="s">
        <v>73</v>
      </c>
      <c r="CL4" s="28" t="s">
        <v>74</v>
      </c>
      <c r="CM4" s="33" t="n">
        <v>45809</v>
      </c>
      <c r="CN4" s="29" t="s">
        <v>75</v>
      </c>
      <c r="CO4" s="30"/>
      <c r="CP4" s="28" t="s">
        <v>76</v>
      </c>
      <c r="CQ4" s="28" t="s">
        <v>77</v>
      </c>
      <c r="CR4" s="28" t="s">
        <v>78</v>
      </c>
      <c r="CS4" s="28" t="s">
        <v>79</v>
      </c>
      <c r="CT4" s="28" t="s">
        <v>80</v>
      </c>
      <c r="CU4" s="29" t="s">
        <v>81</v>
      </c>
      <c r="CV4" s="30"/>
      <c r="CW4" s="28" t="s">
        <v>82</v>
      </c>
      <c r="CX4" s="28" t="s">
        <v>83</v>
      </c>
      <c r="CY4" s="28" t="s">
        <v>84</v>
      </c>
      <c r="CZ4" s="28" t="s">
        <v>85</v>
      </c>
      <c r="DA4" s="28" t="s">
        <v>86</v>
      </c>
      <c r="DB4" s="29" t="s">
        <v>87</v>
      </c>
      <c r="DC4" s="30"/>
      <c r="DD4" s="32" t="n">
        <v>45747</v>
      </c>
      <c r="DE4" s="28" t="s">
        <v>88</v>
      </c>
      <c r="DF4" s="28" t="s">
        <v>89</v>
      </c>
      <c r="DG4" s="28" t="s">
        <v>90</v>
      </c>
      <c r="DH4" s="28" t="s">
        <v>91</v>
      </c>
      <c r="DI4" s="28" t="s">
        <v>92</v>
      </c>
      <c r="DJ4" s="29" t="s">
        <v>93</v>
      </c>
      <c r="DK4" s="30"/>
      <c r="DL4" s="28" t="s">
        <v>94</v>
      </c>
      <c r="DM4" s="28" t="s">
        <v>95</v>
      </c>
      <c r="DN4" s="28" t="s">
        <v>96</v>
      </c>
      <c r="DO4" s="28" t="s">
        <v>97</v>
      </c>
      <c r="DP4" s="28" t="s">
        <v>98</v>
      </c>
      <c r="DQ4" s="29" t="s">
        <v>99</v>
      </c>
      <c r="DR4" s="30"/>
      <c r="DS4" s="28" t="s">
        <v>100</v>
      </c>
      <c r="DT4" s="28" t="s">
        <v>101</v>
      </c>
      <c r="DU4" s="28" t="s">
        <v>102</v>
      </c>
      <c r="DV4" s="28" t="s">
        <v>103</v>
      </c>
      <c r="DW4" s="28" t="s">
        <v>104</v>
      </c>
      <c r="DX4" s="29" t="s">
        <v>105</v>
      </c>
      <c r="DY4" s="30"/>
      <c r="DZ4" s="28" t="s">
        <v>106</v>
      </c>
      <c r="EA4" s="28" t="s">
        <v>107</v>
      </c>
      <c r="EB4" s="28" t="s">
        <v>108</v>
      </c>
      <c r="EC4" s="28" t="s">
        <v>109</v>
      </c>
      <c r="ED4" s="28" t="s">
        <v>110</v>
      </c>
      <c r="EE4" s="34" t="n">
        <v>45627</v>
      </c>
      <c r="EF4" s="35" t="s">
        <v>111</v>
      </c>
      <c r="EG4" s="30"/>
      <c r="EH4" s="36" t="s">
        <v>112</v>
      </c>
      <c r="EI4" s="36" t="s">
        <v>113</v>
      </c>
      <c r="EJ4" s="36" t="s">
        <v>114</v>
      </c>
      <c r="EK4" s="36" t="s">
        <v>115</v>
      </c>
      <c r="EL4" s="36" t="s">
        <v>116</v>
      </c>
      <c r="EM4" s="35" t="s">
        <v>117</v>
      </c>
      <c r="EN4" s="30"/>
      <c r="EO4" s="37" t="s">
        <v>118</v>
      </c>
      <c r="EP4" s="37" t="s">
        <v>119</v>
      </c>
      <c r="EQ4" s="37" t="s">
        <v>120</v>
      </c>
      <c r="ER4" s="37" t="s">
        <v>121</v>
      </c>
      <c r="ES4" s="36" t="s">
        <v>122</v>
      </c>
      <c r="ET4" s="35" t="s">
        <v>123</v>
      </c>
      <c r="EU4" s="30"/>
      <c r="EV4" s="38" t="s">
        <v>124</v>
      </c>
      <c r="EW4" s="39" t="s">
        <v>125</v>
      </c>
      <c r="EX4" s="39" t="s">
        <v>126</v>
      </c>
      <c r="EY4" s="40" t="s">
        <v>127</v>
      </c>
      <c r="EZ4" s="35" t="s">
        <v>128</v>
      </c>
      <c r="FA4" s="30"/>
      <c r="FB4" s="41" t="n">
        <v>45383</v>
      </c>
      <c r="FC4" s="42" t="n">
        <v>45601</v>
      </c>
      <c r="FD4" s="37" t="s">
        <v>129</v>
      </c>
      <c r="FE4" s="37" t="s">
        <v>130</v>
      </c>
      <c r="FF4" s="37" t="s">
        <v>131</v>
      </c>
      <c r="FG4" s="43" t="s">
        <v>132</v>
      </c>
      <c r="FH4" s="44"/>
      <c r="FI4" s="45" t="n">
        <v>45474</v>
      </c>
      <c r="FJ4" s="37" t="s">
        <v>133</v>
      </c>
      <c r="FK4" s="37" t="s">
        <v>134</v>
      </c>
      <c r="FL4" s="37" t="s">
        <v>135</v>
      </c>
      <c r="FM4" s="43" t="s">
        <v>136</v>
      </c>
      <c r="FN4" s="44"/>
      <c r="FO4" s="45" t="n">
        <v>45536</v>
      </c>
      <c r="FP4" s="37" t="s">
        <v>137</v>
      </c>
      <c r="FQ4" s="37" t="s">
        <v>138</v>
      </c>
      <c r="FR4" s="37" t="s">
        <v>139</v>
      </c>
      <c r="FS4" s="43" t="s">
        <v>140</v>
      </c>
      <c r="FT4" s="44"/>
      <c r="FU4" s="45" t="n">
        <v>45413</v>
      </c>
      <c r="FV4" s="42" t="n">
        <v>45632</v>
      </c>
      <c r="FW4" s="37" t="s">
        <v>141</v>
      </c>
      <c r="FX4" s="37" t="s">
        <v>142</v>
      </c>
      <c r="FY4" s="37" t="s">
        <v>143</v>
      </c>
      <c r="FZ4" s="43" t="s">
        <v>144</v>
      </c>
      <c r="GA4" s="44"/>
      <c r="GB4" s="46" t="s">
        <v>145</v>
      </c>
      <c r="GC4" s="37" t="s">
        <v>146</v>
      </c>
      <c r="GD4" s="37" t="s">
        <v>147</v>
      </c>
      <c r="GE4" s="37" t="s">
        <v>148</v>
      </c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</row>
    <row r="5" ht="15.75">
      <c r="A5" s="48"/>
      <c r="B5" s="49" t="s">
        <v>149</v>
      </c>
      <c r="C5" s="50" t="s">
        <v>150</v>
      </c>
      <c r="D5" s="51"/>
      <c r="E5" s="52"/>
      <c r="F5" s="53"/>
      <c r="G5" s="53"/>
      <c r="H5" s="53"/>
      <c r="I5" s="54"/>
      <c r="J5" s="55" t="s">
        <v>149</v>
      </c>
      <c r="K5" s="56" t="s">
        <v>150</v>
      </c>
      <c r="L5" s="57"/>
      <c r="M5" s="57"/>
      <c r="N5" s="57"/>
      <c r="O5" s="57"/>
      <c r="P5" s="54"/>
      <c r="Q5" s="55" t="s">
        <v>149</v>
      </c>
      <c r="R5" s="56" t="s">
        <v>150</v>
      </c>
      <c r="S5" s="58"/>
      <c r="T5" s="57"/>
      <c r="U5" s="57"/>
      <c r="V5" s="57"/>
      <c r="W5" s="57"/>
      <c r="X5" s="59"/>
      <c r="Y5" s="55" t="s">
        <v>149</v>
      </c>
      <c r="Z5" s="56" t="s">
        <v>150</v>
      </c>
      <c r="AA5" s="60"/>
      <c r="AB5" s="53"/>
      <c r="AC5" s="53"/>
      <c r="AD5" s="53"/>
      <c r="AE5" s="54"/>
      <c r="AF5" s="49" t="s">
        <v>149</v>
      </c>
      <c r="AG5" s="56" t="s">
        <v>150</v>
      </c>
      <c r="AH5" s="60"/>
      <c r="AI5" s="52"/>
      <c r="AJ5" s="52"/>
      <c r="AK5" s="52"/>
      <c r="AL5" s="59"/>
      <c r="AM5" s="61" t="s">
        <v>149</v>
      </c>
      <c r="AN5" s="62" t="s">
        <v>150</v>
      </c>
      <c r="AO5" s="63"/>
      <c r="AP5" s="64"/>
      <c r="AQ5" s="64"/>
      <c r="AR5" s="64"/>
      <c r="AS5" s="64"/>
      <c r="AT5" s="65" t="s">
        <v>149</v>
      </c>
      <c r="AU5" s="66" t="s">
        <v>150</v>
      </c>
      <c r="AV5" s="64"/>
      <c r="AW5" s="64"/>
      <c r="AX5" s="64"/>
      <c r="AY5" s="64"/>
      <c r="AZ5" s="64"/>
      <c r="BA5" s="67"/>
      <c r="BB5" s="68" t="s">
        <v>149</v>
      </c>
      <c r="BC5" s="69" t="s">
        <v>150</v>
      </c>
      <c r="BD5" s="64"/>
      <c r="BE5" s="64"/>
      <c r="BF5" s="64"/>
      <c r="BG5" s="64"/>
      <c r="BH5" s="64"/>
      <c r="BI5" s="67"/>
      <c r="BJ5" s="68" t="s">
        <v>149</v>
      </c>
      <c r="BK5" s="69" t="s">
        <v>150</v>
      </c>
      <c r="BL5" s="64"/>
      <c r="BM5" s="64"/>
      <c r="BN5" s="64"/>
      <c r="BO5" s="64"/>
      <c r="BP5" s="64"/>
      <c r="BQ5" s="68" t="s">
        <v>149</v>
      </c>
      <c r="BR5" s="69" t="s">
        <v>150</v>
      </c>
      <c r="BS5" s="64"/>
      <c r="BT5" s="64"/>
      <c r="BU5" s="64"/>
      <c r="BV5" s="64"/>
      <c r="BW5" s="64"/>
      <c r="BX5" s="67" t="s">
        <v>151</v>
      </c>
      <c r="BY5" s="68" t="s">
        <v>149</v>
      </c>
      <c r="BZ5" s="69" t="s">
        <v>150</v>
      </c>
      <c r="CA5" s="64"/>
      <c r="CB5" s="64"/>
      <c r="CC5" s="64"/>
      <c r="CD5" s="64"/>
      <c r="CE5" s="64"/>
      <c r="CF5" s="68" t="s">
        <v>149</v>
      </c>
      <c r="CG5" s="69" t="s">
        <v>150</v>
      </c>
      <c r="CH5" s="64"/>
      <c r="CI5" s="64"/>
      <c r="CJ5" s="64"/>
      <c r="CK5" s="64"/>
      <c r="CL5" s="64"/>
      <c r="CM5" s="64"/>
      <c r="CN5" s="68" t="s">
        <v>149</v>
      </c>
      <c r="CO5" s="69" t="s">
        <v>150</v>
      </c>
      <c r="CP5" s="64"/>
      <c r="CQ5" s="64"/>
      <c r="CR5" s="64"/>
      <c r="CS5" s="64"/>
      <c r="CT5" s="64"/>
      <c r="CU5" s="68" t="s">
        <v>149</v>
      </c>
      <c r="CV5" s="69" t="s">
        <v>150</v>
      </c>
      <c r="CW5" s="64"/>
      <c r="CX5" s="64"/>
      <c r="CY5" s="64"/>
      <c r="CZ5" s="64"/>
      <c r="DA5" s="64"/>
      <c r="DB5" s="68" t="s">
        <v>149</v>
      </c>
      <c r="DC5" s="69" t="s">
        <v>150</v>
      </c>
      <c r="DD5" s="64"/>
      <c r="DE5" s="64"/>
      <c r="DF5" s="64"/>
      <c r="DG5" s="64"/>
      <c r="DH5" s="64"/>
      <c r="DI5" s="64"/>
      <c r="DJ5" s="68" t="s">
        <v>149</v>
      </c>
      <c r="DK5" s="69" t="s">
        <v>150</v>
      </c>
      <c r="DL5" s="64"/>
      <c r="DM5" s="64"/>
      <c r="DN5" s="64"/>
      <c r="DO5" s="64"/>
      <c r="DP5" s="64"/>
      <c r="DQ5" s="68" t="s">
        <v>149</v>
      </c>
      <c r="DR5" s="70" t="s">
        <v>150</v>
      </c>
      <c r="DS5" s="64"/>
      <c r="DT5" s="64"/>
      <c r="DU5" s="64"/>
      <c r="DV5" s="64"/>
      <c r="DW5" s="64"/>
      <c r="DX5" s="68" t="s">
        <v>149</v>
      </c>
      <c r="DY5" s="70" t="s">
        <v>150</v>
      </c>
      <c r="DZ5" s="64"/>
      <c r="EA5" s="64"/>
      <c r="EB5" s="64"/>
      <c r="EC5" s="64"/>
      <c r="ED5" s="64"/>
      <c r="EE5" s="64"/>
      <c r="EF5" s="71" t="s">
        <v>149</v>
      </c>
      <c r="EG5" s="72" t="s">
        <v>150</v>
      </c>
      <c r="EH5" s="48"/>
      <c r="EI5" s="48"/>
      <c r="EJ5" s="48"/>
      <c r="EK5" s="48"/>
      <c r="EL5" s="48"/>
      <c r="EM5" s="71" t="s">
        <v>149</v>
      </c>
      <c r="EN5" s="72" t="s">
        <v>150</v>
      </c>
      <c r="EO5" s="63"/>
      <c r="EP5" s="63"/>
      <c r="EQ5" s="63"/>
      <c r="ER5" s="63"/>
      <c r="ES5" s="48"/>
      <c r="ET5" s="71" t="s">
        <v>149</v>
      </c>
      <c r="EU5" s="72" t="s">
        <v>150</v>
      </c>
      <c r="EV5" s="63"/>
      <c r="EW5" s="64"/>
      <c r="EX5" s="64"/>
      <c r="EY5" s="73"/>
      <c r="EZ5" s="71" t="s">
        <v>149</v>
      </c>
      <c r="FA5" s="72" t="s">
        <v>150</v>
      </c>
      <c r="FB5" s="63"/>
      <c r="FC5" s="63"/>
      <c r="FD5" s="63"/>
      <c r="FE5" s="63"/>
      <c r="FF5" s="63"/>
      <c r="FG5" s="74" t="s">
        <v>149</v>
      </c>
      <c r="FH5" s="75" t="s">
        <v>150</v>
      </c>
      <c r="FI5" s="76"/>
      <c r="FJ5" s="63"/>
      <c r="FK5" s="63"/>
      <c r="FL5" s="63"/>
      <c r="FM5" s="74" t="s">
        <v>149</v>
      </c>
      <c r="FN5" s="75" t="s">
        <v>150</v>
      </c>
      <c r="FO5" s="76"/>
      <c r="FP5" s="63"/>
      <c r="FQ5" s="63"/>
      <c r="FR5" s="63"/>
      <c r="FS5" s="74" t="s">
        <v>149</v>
      </c>
      <c r="FT5" s="75" t="s">
        <v>150</v>
      </c>
      <c r="FU5" s="76"/>
      <c r="FV5" s="63"/>
      <c r="FW5" s="63"/>
      <c r="FX5" s="63"/>
      <c r="FY5" s="77"/>
      <c r="FZ5" s="74" t="s">
        <v>149</v>
      </c>
      <c r="GA5" s="75" t="s">
        <v>150</v>
      </c>
      <c r="GB5" s="76"/>
      <c r="GC5" s="63"/>
      <c r="GD5" s="63"/>
      <c r="GE5" s="63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</row>
    <row r="6" ht="15.75">
      <c r="A6" s="78"/>
      <c r="B6" s="79"/>
      <c r="C6" s="80"/>
      <c r="D6" s="80"/>
      <c r="E6" s="80"/>
      <c r="F6" s="80"/>
      <c r="G6" s="80"/>
      <c r="H6" s="80"/>
      <c r="I6" s="80"/>
      <c r="J6" s="79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1"/>
      <c r="AB6" s="82"/>
      <c r="AC6" s="82"/>
      <c r="AD6" s="82"/>
      <c r="AE6" s="83"/>
      <c r="AF6" s="82"/>
      <c r="AG6" s="82"/>
      <c r="AH6" s="81"/>
      <c r="AI6" s="82"/>
      <c r="AJ6" s="82"/>
      <c r="AK6" s="82"/>
      <c r="AL6" s="83"/>
      <c r="AM6" s="84"/>
      <c r="AN6" s="85"/>
      <c r="AO6" s="84"/>
      <c r="AP6" s="84"/>
      <c r="AQ6" s="84"/>
      <c r="AR6" s="84"/>
      <c r="AS6" s="84"/>
      <c r="AT6" s="84"/>
      <c r="AU6" s="85"/>
      <c r="AV6" s="86"/>
      <c r="AW6" s="86"/>
      <c r="AX6" s="86"/>
      <c r="AY6" s="86"/>
      <c r="AZ6" s="86"/>
      <c r="BA6" s="87"/>
      <c r="BB6" s="87"/>
      <c r="BC6" s="87"/>
      <c r="BD6" s="86"/>
      <c r="BE6" s="86"/>
      <c r="BF6" s="86"/>
      <c r="BG6" s="86"/>
      <c r="BH6" s="86"/>
      <c r="BI6" s="87"/>
      <c r="BJ6" s="87"/>
      <c r="BK6" s="87"/>
      <c r="BL6" s="86"/>
      <c r="BM6" s="86"/>
      <c r="BN6" s="86"/>
      <c r="BO6" s="86"/>
      <c r="BP6" s="86"/>
      <c r="BQ6" s="87"/>
      <c r="BR6" s="87"/>
      <c r="BS6" s="86"/>
      <c r="BT6" s="86"/>
      <c r="BU6" s="86"/>
      <c r="BV6" s="86"/>
      <c r="BW6" s="86"/>
      <c r="BX6" s="87"/>
      <c r="BY6" s="87"/>
      <c r="BZ6" s="87"/>
      <c r="CA6" s="86"/>
      <c r="CB6" s="86"/>
      <c r="CC6" s="86"/>
      <c r="CD6" s="86"/>
      <c r="CE6" s="86"/>
      <c r="CF6" s="87"/>
      <c r="CG6" s="87"/>
      <c r="CH6" s="87"/>
      <c r="CI6" s="86"/>
      <c r="CJ6" s="86"/>
      <c r="CK6" s="86"/>
      <c r="CL6" s="86"/>
      <c r="CM6" s="86"/>
      <c r="CN6" s="87"/>
      <c r="CO6" s="87"/>
      <c r="CP6" s="86"/>
      <c r="CQ6" s="86"/>
      <c r="CR6" s="86"/>
      <c r="CS6" s="86"/>
      <c r="CT6" s="86"/>
      <c r="CU6" s="87"/>
      <c r="CV6" s="87"/>
      <c r="CW6" s="86"/>
      <c r="CX6" s="86"/>
      <c r="CY6" s="86"/>
      <c r="CZ6" s="86"/>
      <c r="DA6" s="86"/>
      <c r="DB6" s="87"/>
      <c r="DC6" s="87"/>
      <c r="DD6" s="86"/>
      <c r="DE6" s="86"/>
      <c r="DF6" s="86"/>
      <c r="DG6" s="86"/>
      <c r="DH6" s="86"/>
      <c r="DI6" s="86"/>
      <c r="DJ6" s="87"/>
      <c r="DK6" s="87"/>
      <c r="DL6" s="86"/>
      <c r="DM6" s="86"/>
      <c r="DN6" s="86"/>
      <c r="DO6" s="86"/>
      <c r="DP6" s="86"/>
      <c r="DQ6" s="87"/>
      <c r="DR6" s="87"/>
      <c r="DS6" s="86"/>
      <c r="DT6" s="86"/>
      <c r="DU6" s="86"/>
      <c r="DV6" s="86"/>
      <c r="DW6" s="86"/>
      <c r="DX6" s="87"/>
      <c r="DY6" s="87"/>
      <c r="DZ6" s="86"/>
      <c r="EA6" s="86"/>
      <c r="EB6" s="86"/>
      <c r="EC6" s="86"/>
      <c r="ED6" s="86"/>
      <c r="EE6" s="87"/>
      <c r="EF6" s="80"/>
      <c r="EG6" s="80"/>
      <c r="EH6" s="78"/>
      <c r="EI6" s="78"/>
      <c r="EJ6" s="78"/>
      <c r="EK6" s="78"/>
      <c r="EL6" s="78"/>
      <c r="EM6" s="80"/>
      <c r="EN6" s="80"/>
      <c r="EO6" s="78"/>
      <c r="EP6" s="78"/>
      <c r="EQ6" s="78"/>
      <c r="ER6" s="78"/>
      <c r="ES6" s="78"/>
      <c r="ET6" s="80"/>
      <c r="EU6" s="80"/>
      <c r="EV6" s="88"/>
      <c r="EW6" s="89"/>
      <c r="EX6" s="88"/>
      <c r="EY6" s="88"/>
      <c r="EZ6" s="80"/>
      <c r="FA6" s="80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90"/>
      <c r="GG6" s="90"/>
      <c r="GH6" s="90"/>
      <c r="GI6" s="90"/>
      <c r="GJ6" s="90"/>
      <c r="GK6" s="90"/>
      <c r="GL6" s="90"/>
      <c r="GM6" s="90"/>
      <c r="GN6" s="90"/>
      <c r="GO6" s="90"/>
      <c r="GP6" s="90"/>
      <c r="GQ6" s="90"/>
    </row>
    <row r="7" ht="15.75">
      <c r="A7" s="91" t="s">
        <v>152</v>
      </c>
      <c r="B7" s="92" t="n">
        <v>600000</v>
      </c>
      <c r="C7" s="93" t="str">
        <f>SUM(D7:H7)</f>
      </c>
      <c r="D7" s="94" t="n">
        <v>152963.11</v>
      </c>
      <c r="E7" s="94" t="n">
        <v>136050.29</v>
      </c>
      <c r="F7" s="94" t="n">
        <v>128783.26</v>
      </c>
      <c r="G7" s="94" t="n">
        <v>135652.49</v>
      </c>
      <c r="H7" s="94" t="n">
        <v>51559.35</v>
      </c>
      <c r="I7" s="95" t="str">
        <f>L7+H7</f>
      </c>
      <c r="J7" s="92" t="n">
        <v>600000</v>
      </c>
      <c r="K7" s="93" t="str">
        <f>SUM(L7:P7)</f>
      </c>
      <c r="L7" s="94" t="n">
        <v>66064.91</v>
      </c>
      <c r="M7" s="94" t="n">
        <v>140964.74</v>
      </c>
      <c r="N7" s="94" t="n">
        <v>126466.48</v>
      </c>
      <c r="O7" s="94" t="n">
        <v>135619.39</v>
      </c>
      <c r="P7" s="94" t="n">
        <v>104046.22</v>
      </c>
      <c r="Q7" s="92" t="n">
        <v>600000</v>
      </c>
      <c r="R7" s="93" t="str">
        <f>SUM(S7:X7)</f>
      </c>
      <c r="S7" s="96" t="n">
        <v>32051.39</v>
      </c>
      <c r="T7" s="97" t="n">
        <v>133027.11</v>
      </c>
      <c r="U7" s="97" t="n">
        <v>145587.84</v>
      </c>
      <c r="V7" s="97" t="n">
        <v>143840.04</v>
      </c>
      <c r="W7" s="97" t="n">
        <v>127261.47</v>
      </c>
      <c r="X7" s="98" t="n">
        <v>13818.76</v>
      </c>
      <c r="Y7" s="99" t="n">
        <v>500000</v>
      </c>
      <c r="Z7" s="100" t="str">
        <f>SUM(AA7:AE7)</f>
      </c>
      <c r="AA7" s="101" t="n">
        <v>109048</v>
      </c>
      <c r="AB7" s="102" t="n">
        <v>116027.4</v>
      </c>
      <c r="AC7" s="102" t="n">
        <v>124208.92</v>
      </c>
      <c r="AD7" s="102" t="n">
        <v>126512.84</v>
      </c>
      <c r="AE7" s="95" t="n">
        <v>24264.28</v>
      </c>
      <c r="AF7" s="92" t="n">
        <v>500000</v>
      </c>
      <c r="AG7" s="103" t="str">
        <f>AL7+AK7+AJ7+AI7+AH7</f>
      </c>
      <c r="AH7" s="104" t="n">
        <v>140976</v>
      </c>
      <c r="AI7" s="105" t="n">
        <v>180616.48</v>
      </c>
      <c r="AJ7" s="105" t="n">
        <v>125278.9</v>
      </c>
      <c r="AK7" s="105" t="n">
        <v>41900.43</v>
      </c>
      <c r="AL7" s="106" t="n">
        <v>27.2</v>
      </c>
      <c r="AM7" s="107" t="n">
        <v>500000</v>
      </c>
      <c r="AN7" s="108" t="str">
        <f>SUM(AO7:AS7)</f>
      </c>
      <c r="AO7" s="109" t="n">
        <v>26530.27</v>
      </c>
      <c r="AP7" s="110" t="n">
        <v>91979.1</v>
      </c>
      <c r="AQ7" s="110" t="n">
        <v>138497.31</v>
      </c>
      <c r="AR7" s="110" t="n">
        <v>126669.04</v>
      </c>
      <c r="AS7" s="109" t="n">
        <v>101871.43</v>
      </c>
      <c r="AT7" s="111" t="n">
        <v>500000</v>
      </c>
      <c r="AU7" s="108" t="str">
        <f>SUM(AV7:AZ7)</f>
      </c>
      <c r="AV7" s="112" t="n">
        <v>131103.55</v>
      </c>
      <c r="AW7" s="113" t="n">
        <v>127589.97</v>
      </c>
      <c r="AX7" s="113" t="n">
        <v>124541.03</v>
      </c>
      <c r="AY7" s="113" t="n">
        <v>107680.82</v>
      </c>
      <c r="AZ7" s="109" t="n">
        <v>19874.94</v>
      </c>
      <c r="BA7" s="109" t="str">
        <f>AZ7+BD7</f>
      </c>
      <c r="BB7" s="114" t="n">
        <v>500000</v>
      </c>
      <c r="BC7" s="115" t="str">
        <f>SUM(BD7:BH7)</f>
      </c>
      <c r="BD7" s="113" t="n">
        <v>55663.87</v>
      </c>
      <c r="BE7" s="113" t="n">
        <v>98656.35</v>
      </c>
      <c r="BF7" s="113" t="n">
        <v>128590.18</v>
      </c>
      <c r="BG7" s="113" t="n">
        <v>130790.68</v>
      </c>
      <c r="BH7" s="109" t="n">
        <v>88758.33</v>
      </c>
      <c r="BI7" s="109" t="str">
        <f>BH7+BL7</f>
      </c>
      <c r="BJ7" s="114" t="n">
        <v>500000</v>
      </c>
      <c r="BK7" s="115" t="str">
        <f>SUM(BL7:BP7)</f>
      </c>
      <c r="BL7" s="113" t="n">
        <v>44047.92</v>
      </c>
      <c r="BM7" s="113" t="n">
        <v>145294.24</v>
      </c>
      <c r="BN7" s="113" t="n">
        <v>142792</v>
      </c>
      <c r="BO7" s="113" t="n">
        <v>102324.13</v>
      </c>
      <c r="BP7" s="109" t="n">
        <v>108019.51</v>
      </c>
      <c r="BQ7" s="114" t="n">
        <v>500000</v>
      </c>
      <c r="BR7" s="115" t="str">
        <f>SUM(BS7:BW7)</f>
      </c>
      <c r="BS7" s="113" t="n">
        <v>102281.43</v>
      </c>
      <c r="BT7" s="113" t="n">
        <v>99726.95</v>
      </c>
      <c r="BU7" s="113" t="n">
        <v>93517.78</v>
      </c>
      <c r="BV7" s="113" t="n">
        <v>94315.17</v>
      </c>
      <c r="BW7" s="109" t="n">
        <v>45976.42</v>
      </c>
      <c r="BX7" s="109" t="str">
        <f>BW7+CA7</f>
      </c>
      <c r="BY7" s="114" t="n">
        <v>500000</v>
      </c>
      <c r="BZ7" s="115" t="str">
        <f>SUM(CA7:CE7)</f>
      </c>
      <c r="CA7" s="113" t="n">
        <v>69475.04</v>
      </c>
      <c r="CB7" s="113" t="n">
        <v>119942.1</v>
      </c>
      <c r="CC7" s="113" t="n">
        <v>132696</v>
      </c>
      <c r="CD7" s="113" t="n">
        <v>151163.31</v>
      </c>
      <c r="CE7" s="113" t="n">
        <v>146600.54</v>
      </c>
      <c r="CF7" s="114" t="n">
        <v>500000</v>
      </c>
      <c r="CG7" s="115" t="str">
        <f>SUM(CI7:CM7)</f>
      </c>
      <c r="CH7" s="116" t="n">
        <v>26484.5</v>
      </c>
      <c r="CI7" s="113" t="n">
        <v>164565.15</v>
      </c>
      <c r="CJ7" s="113" t="n">
        <v>144823.79</v>
      </c>
      <c r="CK7" s="113" t="n">
        <v>119718.43</v>
      </c>
      <c r="CL7" s="113" t="n">
        <v>114729.28</v>
      </c>
      <c r="CM7" s="113" t="n">
        <v>19410.64</v>
      </c>
      <c r="CN7" s="114" t="n">
        <v>500000</v>
      </c>
      <c r="CO7" s="115" t="str">
        <f>SUM(CP7:CT7)</f>
      </c>
      <c r="CP7" s="113" t="n">
        <v>102011.44</v>
      </c>
      <c r="CQ7" s="113" t="n">
        <v>100989.95</v>
      </c>
      <c r="CR7" s="113" t="n">
        <v>92109.34</v>
      </c>
      <c r="CS7" s="113" t="n">
        <v>117985.31</v>
      </c>
      <c r="CT7" s="113" t="n">
        <v>87588.75</v>
      </c>
      <c r="CU7" s="114" t="n">
        <v>500000</v>
      </c>
      <c r="CV7" s="115" t="str">
        <f>SUM(CW7:DA7)</f>
      </c>
      <c r="CW7" s="117" t="n">
        <v>56641.63</v>
      </c>
      <c r="CX7" s="113" t="n">
        <v>137682.49</v>
      </c>
      <c r="CY7" s="113" t="n">
        <v>117443.52</v>
      </c>
      <c r="CZ7" s="113" t="n">
        <v>94165.39</v>
      </c>
      <c r="DA7" s="113" t="n">
        <v>85174.84</v>
      </c>
      <c r="DB7" s="114" t="n">
        <v>500000</v>
      </c>
      <c r="DC7" s="115" t="str">
        <f>SUM(DD7:DI7)</f>
      </c>
      <c r="DD7" s="117" t="n">
        <v>15462.76</v>
      </c>
      <c r="DE7" s="117" t="n">
        <v>95188.61</v>
      </c>
      <c r="DF7" s="113" t="n">
        <v>86280.56</v>
      </c>
      <c r="DG7" s="113" t="n">
        <v>84357.84</v>
      </c>
      <c r="DH7" s="113" t="n">
        <v>115160.14</v>
      </c>
      <c r="DI7" s="113" t="n">
        <v>49730.34</v>
      </c>
      <c r="DJ7" s="114" t="n">
        <v>500000</v>
      </c>
      <c r="DK7" s="115" t="str">
        <f>SUM(DL7:DP7)</f>
      </c>
      <c r="DL7" s="117" t="n">
        <v>99230.3</v>
      </c>
      <c r="DM7" s="117" t="n">
        <v>110458.27</v>
      </c>
      <c r="DN7" s="109" t="n">
        <v>124376.08</v>
      </c>
      <c r="DO7" s="109" t="n">
        <v>103990.79</v>
      </c>
      <c r="DP7" s="113" t="n">
        <v>43023.29</v>
      </c>
      <c r="DQ7" s="114" t="n">
        <v>500000</v>
      </c>
      <c r="DR7" s="115" t="str">
        <f>SUM(DS7:DW7)</f>
      </c>
      <c r="DS7" s="117" t="n">
        <v>116448.79</v>
      </c>
      <c r="DT7" s="117" t="n">
        <v>130493.44</v>
      </c>
      <c r="DU7" s="109" t="n">
        <v>79486.57</v>
      </c>
      <c r="DV7" s="109" t="n">
        <v>59180.93</v>
      </c>
      <c r="DW7" s="113" t="n">
        <v>11846.66</v>
      </c>
      <c r="DX7" s="114" t="n">
        <v>500000</v>
      </c>
      <c r="DY7" s="115" t="str">
        <f>SUM(DZ7:EE7)</f>
      </c>
      <c r="DZ7" s="117" t="n">
        <v>0</v>
      </c>
      <c r="EA7" s="117" t="n">
        <v>99625.12</v>
      </c>
      <c r="EB7" s="109" t="n">
        <v>142017.66</v>
      </c>
      <c r="EC7" s="109" t="n">
        <v>144286.76</v>
      </c>
      <c r="ED7" s="113" t="n">
        <v>51115.4</v>
      </c>
      <c r="EE7" s="113" t="n">
        <v>18619.16</v>
      </c>
      <c r="EF7" s="118" t="n">
        <v>500000</v>
      </c>
      <c r="EG7" s="119" t="str">
        <f>SUM(EH7:EL7)</f>
      </c>
      <c r="EH7" s="120" t="n">
        <v>130190.06</v>
      </c>
      <c r="EI7" s="117" t="n">
        <v>137956.35</v>
      </c>
      <c r="EJ7" s="109" t="n">
        <v>114525.63</v>
      </c>
      <c r="EK7" s="109" t="n">
        <v>104268.89</v>
      </c>
      <c r="EL7" s="116" t="n">
        <v>42123.38</v>
      </c>
      <c r="EM7" s="118" t="n">
        <v>500000</v>
      </c>
      <c r="EN7" s="119" t="str">
        <f>SUM(EO7:ES7)</f>
      </c>
      <c r="EO7" s="120" t="n">
        <v>82651.95</v>
      </c>
      <c r="EP7" s="117" t="n">
        <v>126543.12</v>
      </c>
      <c r="EQ7" s="109" t="n">
        <v>104857.97</v>
      </c>
      <c r="ER7" s="109" t="n">
        <v>110478</v>
      </c>
      <c r="ES7" s="116" t="n">
        <v>126424.38</v>
      </c>
      <c r="ET7" s="118" t="n">
        <v>500000</v>
      </c>
      <c r="EU7" s="119" t="str">
        <f>SUM(EV7:EY7)</f>
      </c>
      <c r="EV7" s="121" t="n">
        <v>198450.97</v>
      </c>
      <c r="EW7" s="122" t="n">
        <v>128944</v>
      </c>
      <c r="EX7" s="123" t="n">
        <v>0</v>
      </c>
      <c r="EY7" s="124" t="n">
        <v>116365.94</v>
      </c>
      <c r="EZ7" s="118" t="n">
        <v>500000</v>
      </c>
      <c r="FA7" s="119" t="str">
        <f>SUM(FB7:FF7)</f>
      </c>
      <c r="FB7" s="120" t="n">
        <v>24000</v>
      </c>
      <c r="FC7" s="117" t="n">
        <v>60010.71</v>
      </c>
      <c r="FD7" s="109" t="n">
        <v>52395.98</v>
      </c>
      <c r="FE7" s="109" t="n">
        <v>95200.59</v>
      </c>
      <c r="FF7" s="109" t="n">
        <v>197637.49</v>
      </c>
      <c r="FG7" s="125" t="n">
        <v>500000</v>
      </c>
      <c r="FH7" s="126" t="str">
        <f>SUM(FI7:FL7)</f>
      </c>
      <c r="FI7" s="120" t="n">
        <v>79249.16</v>
      </c>
      <c r="FJ7" s="117" t="n">
        <v>111543.19</v>
      </c>
      <c r="FK7" s="109" t="n">
        <v>116553.98</v>
      </c>
      <c r="FL7" s="109" t="n">
        <v>241915.47</v>
      </c>
      <c r="FM7" s="125" t="n">
        <v>500000</v>
      </c>
      <c r="FN7" s="126" t="str">
        <f>SUM(FO7:FR7)</f>
      </c>
      <c r="FO7" s="120" t="n">
        <v>66709.72</v>
      </c>
      <c r="FP7" s="117" t="n">
        <v>66169.79</v>
      </c>
      <c r="FQ7" s="109" t="n">
        <v>79870.03</v>
      </c>
      <c r="FR7" s="109" t="n">
        <v>190895.65</v>
      </c>
      <c r="FS7" s="127" t="n">
        <v>500000</v>
      </c>
      <c r="FT7" s="126" t="str">
        <f>SUM(FU7:FY7)</f>
      </c>
      <c r="FU7" s="120" t="n">
        <v>106087.23</v>
      </c>
      <c r="FV7" s="117" t="n">
        <v>161831.8</v>
      </c>
      <c r="FW7" s="109" t="n">
        <v>156346.37</v>
      </c>
      <c r="FX7" s="109" t="n">
        <v>59310.41</v>
      </c>
      <c r="FY7" s="109" t="n">
        <v>59946.13</v>
      </c>
      <c r="FZ7" s="125" t="n">
        <v>500000</v>
      </c>
      <c r="GA7" s="126" t="str">
        <f>SUM(GB7:GE7)</f>
      </c>
      <c r="GB7" s="120" t="n">
        <v>86307.8</v>
      </c>
      <c r="GC7" s="117" t="n">
        <v>98441.62</v>
      </c>
      <c r="GD7" s="109" t="n">
        <v>97996.65</v>
      </c>
      <c r="GE7" s="109" t="n">
        <v>174673.92</v>
      </c>
      <c r="GF7" s="128"/>
      <c r="GG7" s="128"/>
      <c r="GH7" s="128"/>
      <c r="GI7" s="128"/>
      <c r="GJ7" s="128"/>
      <c r="GK7" s="128"/>
      <c r="GL7" s="128"/>
      <c r="GM7" s="128"/>
      <c r="GN7" s="128"/>
      <c r="GO7" s="128"/>
      <c r="GP7" s="128"/>
      <c r="GQ7" s="128"/>
    </row>
    <row r="8" ht="15.75">
      <c r="A8" s="129" t="s">
        <v>153</v>
      </c>
      <c r="B8" s="130" t="n">
        <v>5917648.72</v>
      </c>
      <c r="C8" s="131" t="str">
        <f>SUM(D8:H8)</f>
      </c>
      <c r="D8" s="94" t="n">
        <v>1462458.15</v>
      </c>
      <c r="E8" s="94" t="n">
        <v>1300607.26</v>
      </c>
      <c r="F8" s="94" t="n">
        <v>1684875.48</v>
      </c>
      <c r="G8" s="94" t="n">
        <v>1522148.52</v>
      </c>
      <c r="H8" s="94" t="n">
        <v>233932.74</v>
      </c>
      <c r="I8" s="95" t="str">
        <f>L8+H8</f>
      </c>
      <c r="J8" s="130" t="n">
        <v>7914414.2</v>
      </c>
      <c r="K8" s="131" t="str">
        <f>SUM(L8:P8)</f>
      </c>
      <c r="L8" s="132" t="n">
        <v>1190234.38</v>
      </c>
      <c r="M8" s="132" t="n">
        <v>1902925.01</v>
      </c>
      <c r="N8" s="132" t="n">
        <v>2040514.56</v>
      </c>
      <c r="O8" s="132" t="n">
        <v>1529909.89</v>
      </c>
      <c r="P8" s="132" t="n">
        <v>1813468.05</v>
      </c>
      <c r="Q8" s="133" t="n">
        <v>8557855.55</v>
      </c>
      <c r="R8" s="131" t="str">
        <f>SUM(S8:X8)</f>
      </c>
      <c r="S8" s="134" t="n">
        <v>1042488.45</v>
      </c>
      <c r="T8" s="135" t="n">
        <v>2201998.15</v>
      </c>
      <c r="U8" s="135" t="n">
        <v>2418250.61</v>
      </c>
      <c r="V8" s="135" t="n">
        <v>2475854.38</v>
      </c>
      <c r="W8" s="135" t="n">
        <v>2290735.12</v>
      </c>
      <c r="X8" s="136" t="n">
        <v>33426.25</v>
      </c>
      <c r="Y8" s="137" t="n">
        <v>7572880.2</v>
      </c>
      <c r="Z8" s="138" t="str">
        <f>SUM(AA8:AE8)</f>
      </c>
      <c r="AA8" s="139" t="n">
        <v>3298575.87</v>
      </c>
      <c r="AB8" s="140" t="n">
        <v>2085674.75</v>
      </c>
      <c r="AC8" s="140" t="n">
        <v>2029350.35</v>
      </c>
      <c r="AD8" s="140" t="n">
        <v>1753890.85</v>
      </c>
      <c r="AE8" s="141" t="n">
        <v>131316.08</v>
      </c>
      <c r="AF8" s="142" t="n">
        <v>8190210</v>
      </c>
      <c r="AG8" s="143" t="str">
        <f>AL8+AK8+AJ8+AI8+AH8</f>
      </c>
      <c r="AH8" s="144" t="n">
        <v>1415928.91</v>
      </c>
      <c r="AI8" s="145" t="n">
        <v>1598312.81</v>
      </c>
      <c r="AJ8" s="145" t="n">
        <v>1096938.06</v>
      </c>
      <c r="AK8" s="145" t="n">
        <v>838162.32</v>
      </c>
      <c r="AL8" s="146" t="n">
        <v>249350.82</v>
      </c>
      <c r="AM8" s="137" t="n">
        <v>6000000</v>
      </c>
      <c r="AN8" s="138" t="str">
        <f>SUM(AO8:AS8)</f>
      </c>
      <c r="AO8" s="147" t="n">
        <v>284931.36</v>
      </c>
      <c r="AP8" s="148" t="n">
        <v>657365.76</v>
      </c>
      <c r="AQ8" s="149" t="n">
        <v>931516.1</v>
      </c>
      <c r="AR8" s="148" t="n">
        <v>886578.7</v>
      </c>
      <c r="AS8" s="150" t="n">
        <v>1263480.19</v>
      </c>
      <c r="AT8" s="151" t="n">
        <v>6000000</v>
      </c>
      <c r="AU8" s="138" t="str">
        <f>SUM(AV8:AZ8)</f>
      </c>
      <c r="AV8" s="147" t="n">
        <v>923553.76</v>
      </c>
      <c r="AW8" s="148" t="n">
        <v>1351109.68</v>
      </c>
      <c r="AX8" s="148" t="n">
        <v>1508200.31</v>
      </c>
      <c r="AY8" s="148" t="n">
        <v>1776988.68</v>
      </c>
      <c r="AZ8" s="150" t="n">
        <v>204175.6</v>
      </c>
      <c r="BA8" s="148" t="str">
        <f>AZ8+BD8</f>
      </c>
      <c r="BB8" s="151" t="n">
        <v>6000000</v>
      </c>
      <c r="BC8" s="152" t="str">
        <f>SUM(BD8:BH8)</f>
      </c>
      <c r="BD8" s="153" t="n">
        <v>1444980.06</v>
      </c>
      <c r="BE8" s="148" t="n">
        <v>1228084.08</v>
      </c>
      <c r="BF8" s="148" t="n">
        <v>1129567.79</v>
      </c>
      <c r="BG8" s="148" t="n">
        <v>1023060.5</v>
      </c>
      <c r="BH8" s="150" t="n">
        <v>675985.8</v>
      </c>
      <c r="BI8" s="148" t="str">
        <f>BH8+BL8</f>
      </c>
      <c r="BJ8" s="151" t="n">
        <v>5800000</v>
      </c>
      <c r="BK8" s="152" t="str">
        <f>SUM(BL8:BP8)</f>
      </c>
      <c r="BL8" s="153" t="n">
        <v>675733.1</v>
      </c>
      <c r="BM8" s="148" t="n">
        <v>898600.25</v>
      </c>
      <c r="BN8" s="148" t="n">
        <v>1786362.42</v>
      </c>
      <c r="BO8" s="148" t="n">
        <v>1014757.82</v>
      </c>
      <c r="BP8" s="154" t="n">
        <v>1464913.67</v>
      </c>
      <c r="BQ8" s="151" t="n">
        <v>5800000</v>
      </c>
      <c r="BR8" s="152" t="str">
        <f>SUM(BS8:BW8)</f>
      </c>
      <c r="BS8" s="153" t="n">
        <v>1322807.61</v>
      </c>
      <c r="BT8" s="148" t="n">
        <v>968795.55</v>
      </c>
      <c r="BU8" s="148" t="n">
        <v>1051200.82</v>
      </c>
      <c r="BV8" s="148" t="n">
        <v>1059297.09</v>
      </c>
      <c r="BW8" s="154" t="n">
        <v>480893.59</v>
      </c>
      <c r="BX8" s="148" t="str">
        <f>BW8+CA8</f>
      </c>
      <c r="BY8" s="151" t="n">
        <v>6000000</v>
      </c>
      <c r="BZ8" s="152" t="str">
        <f>SUM(CA8:CE8)</f>
      </c>
      <c r="CA8" s="153" t="n">
        <v>1237661</v>
      </c>
      <c r="CB8" s="148" t="n">
        <v>1071284.98</v>
      </c>
      <c r="CC8" s="148" t="n">
        <v>1173287.44</v>
      </c>
      <c r="CD8" s="148" t="n">
        <v>916436.11</v>
      </c>
      <c r="CE8" s="154" t="n">
        <v>1018166.67</v>
      </c>
      <c r="CF8" s="151" t="n">
        <v>6000000</v>
      </c>
      <c r="CG8" s="152" t="str">
        <f>SUM(CH8:CM8)</f>
      </c>
      <c r="CH8" s="155" t="n">
        <v>290102.17</v>
      </c>
      <c r="CI8" s="155" t="n">
        <v>1569287.16</v>
      </c>
      <c r="CJ8" s="148" t="n">
        <v>1084459.88</v>
      </c>
      <c r="CK8" s="148" t="n">
        <v>1182918.76</v>
      </c>
      <c r="CL8" s="148" t="n">
        <v>1434054.15</v>
      </c>
      <c r="CM8" s="154" t="n">
        <v>37878.75</v>
      </c>
      <c r="CN8" s="151" t="n">
        <v>6000000</v>
      </c>
      <c r="CO8" s="156" t="str">
        <f>SUM(CP8:CT8)</f>
      </c>
      <c r="CP8" s="157" t="n">
        <v>1083115.13</v>
      </c>
      <c r="CQ8" s="148" t="n">
        <v>1118754.39</v>
      </c>
      <c r="CR8" s="148" t="n">
        <v>1131546.32</v>
      </c>
      <c r="CS8" s="148" t="n">
        <v>1857447.59</v>
      </c>
      <c r="CT8" s="154" t="n">
        <v>444992.5</v>
      </c>
      <c r="CU8" s="151" t="n">
        <v>6950000</v>
      </c>
      <c r="CV8" s="156" t="str">
        <f>SUM(CW8:DA8)</f>
      </c>
      <c r="CW8" s="157" t="n">
        <v>1197122.86</v>
      </c>
      <c r="CX8" s="157" t="n">
        <v>1786643.04</v>
      </c>
      <c r="CY8" s="148" t="n">
        <v>1547482.58</v>
      </c>
      <c r="CZ8" s="148" t="n">
        <v>1437719.52</v>
      </c>
      <c r="DA8" s="154" t="n">
        <v>1225953.95</v>
      </c>
      <c r="DB8" s="151" t="n">
        <v>10800000</v>
      </c>
      <c r="DC8" s="156" t="str">
        <f>SUM(DD8:DI8)</f>
      </c>
      <c r="DD8" s="157" t="n">
        <v>456561.42</v>
      </c>
      <c r="DE8" s="157" t="n">
        <v>1666605.63</v>
      </c>
      <c r="DF8" s="157" t="n">
        <v>2843758.84</v>
      </c>
      <c r="DG8" s="148" t="n">
        <v>2004440.43</v>
      </c>
      <c r="DH8" s="148" t="n">
        <v>1477221.45</v>
      </c>
      <c r="DI8" s="158" t="n">
        <v>559681.4</v>
      </c>
      <c r="DJ8" s="151" t="n">
        <v>10000000</v>
      </c>
      <c r="DK8" s="156" t="str">
        <f>SUM(DL8:DP8)</f>
      </c>
      <c r="DL8" s="159" t="n">
        <v>1955949.58</v>
      </c>
      <c r="DM8" s="157" t="n">
        <v>1569500.03</v>
      </c>
      <c r="DN8" s="148" t="n">
        <v>2126210.2</v>
      </c>
      <c r="DO8" s="148" t="n">
        <v>2627425.21</v>
      </c>
      <c r="DP8" s="159" t="n">
        <v>135226.3</v>
      </c>
      <c r="DQ8" s="160" t="n">
        <v>6700000</v>
      </c>
      <c r="DR8" s="156" t="str">
        <f>SUM(DS8:DW8)</f>
      </c>
      <c r="DS8" s="157" t="n">
        <v>1593078.01</v>
      </c>
      <c r="DT8" s="157" t="n">
        <v>2151399.36</v>
      </c>
      <c r="DU8" s="148" t="n">
        <v>2382717.14</v>
      </c>
      <c r="DV8" s="148" t="n">
        <v>1418883.37</v>
      </c>
      <c r="DW8" s="159" t="n">
        <v>254122.88</v>
      </c>
      <c r="DX8" s="160" t="n">
        <v>5100000</v>
      </c>
      <c r="DY8" s="156" t="str">
        <f>SUM(DZ8:EE8)</f>
      </c>
      <c r="DZ8" s="157" t="n">
        <v>71639.18</v>
      </c>
      <c r="EA8" s="157" t="n">
        <v>504257.98</v>
      </c>
      <c r="EB8" s="148" t="n">
        <v>1213425.35</v>
      </c>
      <c r="EC8" s="148" t="n">
        <v>992765.16</v>
      </c>
      <c r="ED8" s="159" t="n">
        <v>1586384.42</v>
      </c>
      <c r="EE8" s="159" t="n">
        <v>300080.71</v>
      </c>
      <c r="EF8" s="161" t="str">
        <f>EF9*EF10</f>
      </c>
      <c r="EG8" s="162" t="str">
        <f>SUM(EH8:EL8)</f>
      </c>
      <c r="EH8" s="163" t="n">
        <v>1232010.04</v>
      </c>
      <c r="EI8" s="157" t="n">
        <v>1551259.64</v>
      </c>
      <c r="EJ8" s="148" t="n">
        <v>2000329.28</v>
      </c>
      <c r="EK8" s="148" t="n">
        <v>1437254.46</v>
      </c>
      <c r="EL8" s="164" t="n">
        <v>184077.87</v>
      </c>
      <c r="EM8" s="161" t="str">
        <f>EM9*EM10</f>
      </c>
      <c r="EN8" s="162" t="str">
        <f>SUM(EO8:ES8)</f>
      </c>
      <c r="EO8" s="163" t="n">
        <v>971887.62</v>
      </c>
      <c r="EP8" s="157" t="n">
        <v>1399544.8</v>
      </c>
      <c r="EQ8" s="148" t="n">
        <v>1372073.39</v>
      </c>
      <c r="ER8" s="148" t="n">
        <v>1173964.37</v>
      </c>
      <c r="ES8" s="164" t="n">
        <v>891679.25</v>
      </c>
      <c r="ET8" s="161" t="str">
        <f>ET9*ET10</f>
      </c>
      <c r="EU8" s="162" t="str">
        <f>SUM(EV8:EY8)</f>
      </c>
      <c r="EV8" s="165" t="n">
        <v>1565669.28</v>
      </c>
      <c r="EW8" s="166" t="n">
        <v>1023191.04</v>
      </c>
      <c r="EX8" s="167" t="n">
        <v>963413.76</v>
      </c>
      <c r="EY8" s="168" t="n">
        <v>1287252.48</v>
      </c>
      <c r="EZ8" s="161" t="str">
        <f>EZ9*EZ10</f>
      </c>
      <c r="FA8" s="162" t="str">
        <f>SUM(FB8:FF8)</f>
      </c>
      <c r="FB8" s="163" t="n">
        <v>592956.15</v>
      </c>
      <c r="FC8" s="157" t="n">
        <v>898281.72</v>
      </c>
      <c r="FD8" s="148" t="n">
        <v>1066228.65</v>
      </c>
      <c r="FE8" s="148" t="n">
        <v>1362932.16</v>
      </c>
      <c r="FF8" s="148" t="n">
        <v>1141437.6</v>
      </c>
      <c r="FG8" s="169" t="str">
        <f>FG9*FG10</f>
      </c>
      <c r="FH8" s="170" t="str">
        <f>SUM(FI8:FL8)</f>
      </c>
      <c r="FI8" s="163" t="n">
        <v>1327417.83</v>
      </c>
      <c r="FJ8" s="157" t="n">
        <v>777718.84</v>
      </c>
      <c r="FK8" s="148" t="n">
        <v>1340323.2</v>
      </c>
      <c r="FL8" s="148" t="n">
        <v>1710439.31</v>
      </c>
      <c r="FM8" s="169" t="str">
        <f>FM9*FM10</f>
      </c>
      <c r="FN8" s="170" t="str">
        <f>SUM(FO8:FR8)</f>
      </c>
      <c r="FO8" s="163" t="n">
        <v>1891033.91</v>
      </c>
      <c r="FP8" s="157" t="n">
        <v>1692346.38</v>
      </c>
      <c r="FQ8" s="148" t="n">
        <v>1582435.2</v>
      </c>
      <c r="FR8" s="148" t="n">
        <v>1649683.36</v>
      </c>
      <c r="FS8" s="171" t="str">
        <f>FS9*FS10</f>
      </c>
      <c r="FT8" s="170" t="str">
        <f>SUM(FU8:FY8)</f>
      </c>
      <c r="FU8" s="163" t="n">
        <v>1437563.47</v>
      </c>
      <c r="FV8" s="157" t="n">
        <v>1608217.73</v>
      </c>
      <c r="FW8" s="148" t="n">
        <v>2078587.84</v>
      </c>
      <c r="FX8" s="148" t="n">
        <v>1376950.23</v>
      </c>
      <c r="FY8" s="148" t="n">
        <v>1626125.94</v>
      </c>
      <c r="FZ8" s="169" t="str">
        <f>FZ9*FZ10</f>
      </c>
      <c r="GA8" s="170" t="str">
        <f>SUM(GB8:GE8)</f>
      </c>
      <c r="GB8" s="163" t="n">
        <v>2452964.99</v>
      </c>
      <c r="GC8" s="157" t="n">
        <v>2407062.28</v>
      </c>
      <c r="GD8" s="148" t="n">
        <v>2607781.47</v>
      </c>
      <c r="GE8" s="148" t="n">
        <v>2301373.19</v>
      </c>
      <c r="GF8" s="172"/>
      <c r="GG8" s="172"/>
      <c r="GH8" s="172"/>
      <c r="GI8" s="172"/>
      <c r="GJ8" s="172"/>
      <c r="GK8" s="172"/>
      <c r="GL8" s="172"/>
      <c r="GM8" s="172"/>
      <c r="GN8" s="172"/>
      <c r="GO8" s="172"/>
      <c r="GP8" s="172"/>
      <c r="GQ8" s="172"/>
    </row>
    <row r="9" ht="15.75">
      <c r="A9" s="173" t="s">
        <v>154</v>
      </c>
      <c r="B9" s="174" t="n">
        <v>403</v>
      </c>
      <c r="C9" s="175" t="str">
        <f>SUM(D9:H9)</f>
      </c>
      <c r="D9" s="176" t="n">
        <v>101</v>
      </c>
      <c r="E9" s="176" t="n">
        <v>82</v>
      </c>
      <c r="F9" s="176" t="n">
        <v>83</v>
      </c>
      <c r="G9" s="176" t="n">
        <v>69</v>
      </c>
      <c r="H9" s="176" t="n">
        <v>20</v>
      </c>
      <c r="I9" s="177" t="str">
        <f>L9+H9</f>
      </c>
      <c r="J9" s="174" t="n">
        <v>540</v>
      </c>
      <c r="K9" s="175" t="str">
        <f>SUM(L9:P9)</f>
      </c>
      <c r="L9" s="176" t="n">
        <v>62</v>
      </c>
      <c r="M9" s="176" t="n">
        <v>109</v>
      </c>
      <c r="N9" s="176" t="n">
        <v>108</v>
      </c>
      <c r="O9" s="176" t="n">
        <v>94</v>
      </c>
      <c r="P9" s="176" t="n">
        <v>66</v>
      </c>
      <c r="Q9" s="174" t="n">
        <v>555</v>
      </c>
      <c r="R9" s="175" t="str">
        <f>SUM(S9:X9)</f>
      </c>
      <c r="S9" s="178" t="n">
        <v>36</v>
      </c>
      <c r="T9" s="176" t="n">
        <v>111</v>
      </c>
      <c r="U9" s="176" t="n">
        <v>141</v>
      </c>
      <c r="V9" s="176" t="n">
        <v>123</v>
      </c>
      <c r="W9" s="176" t="n">
        <v>114</v>
      </c>
      <c r="X9" s="179" t="n">
        <v>6</v>
      </c>
      <c r="Y9" s="180" t="str">
        <f>Y15+Y22</f>
      </c>
      <c r="Z9" s="181" t="str">
        <f>SUM(AA9:AE9)</f>
      </c>
      <c r="AA9" s="182" t="n">
        <v>102</v>
      </c>
      <c r="AB9" s="183" t="n">
        <v>122</v>
      </c>
      <c r="AC9" s="183" t="n">
        <v>124</v>
      </c>
      <c r="AD9" s="183" t="n">
        <v>145</v>
      </c>
      <c r="AE9" s="184" t="n">
        <v>11</v>
      </c>
      <c r="AF9" s="185" t="n">
        <v>400</v>
      </c>
      <c r="AG9" s="186" t="str">
        <f>AL9+AK9+AJ9+AI9+AH9</f>
      </c>
      <c r="AH9" s="187" t="n">
        <v>99</v>
      </c>
      <c r="AI9" s="188" t="n">
        <v>119</v>
      </c>
      <c r="AJ9" s="188" t="n">
        <v>94</v>
      </c>
      <c r="AK9" s="188" t="n">
        <v>36</v>
      </c>
      <c r="AL9" s="189" t="n">
        <v>13</v>
      </c>
      <c r="AM9" s="190" t="n">
        <v>350</v>
      </c>
      <c r="AN9" s="108" t="str">
        <f>SUM(AO9:AS9)</f>
      </c>
      <c r="AO9" s="191" t="n">
        <v>9</v>
      </c>
      <c r="AP9" s="192" t="n">
        <v>57</v>
      </c>
      <c r="AQ9" s="192" t="n">
        <v>61</v>
      </c>
      <c r="AR9" s="192" t="n">
        <v>49</v>
      </c>
      <c r="AS9" s="193" t="n">
        <v>70</v>
      </c>
      <c r="AT9" s="194" t="n">
        <v>350</v>
      </c>
      <c r="AU9" s="108" t="str">
        <f>SUM(AV9:AZ9)</f>
      </c>
      <c r="AV9" s="191" t="n">
        <v>72</v>
      </c>
      <c r="AW9" s="192" t="n">
        <v>68</v>
      </c>
      <c r="AX9" s="192" t="n">
        <v>93</v>
      </c>
      <c r="AY9" s="192" t="n">
        <v>69</v>
      </c>
      <c r="AZ9" s="193" t="n">
        <v>13</v>
      </c>
      <c r="BA9" s="109" t="str">
        <f>AZ9+BD9</f>
      </c>
      <c r="BB9" s="194" t="n">
        <v>350</v>
      </c>
      <c r="BC9" s="195" t="str">
        <f>SUM(BD9:BH9)</f>
      </c>
      <c r="BD9" s="196" t="n">
        <v>73</v>
      </c>
      <c r="BE9" s="192" t="n">
        <v>76</v>
      </c>
      <c r="BF9" s="192" t="n">
        <v>84</v>
      </c>
      <c r="BG9" s="192" t="n">
        <v>74</v>
      </c>
      <c r="BH9" s="193" t="n">
        <v>50</v>
      </c>
      <c r="BI9" s="109" t="str">
        <f>BH9+BL9</f>
      </c>
      <c r="BJ9" s="194" t="n">
        <v>340</v>
      </c>
      <c r="BK9" s="195" t="str">
        <f>SUM(BL9:BP9)</f>
      </c>
      <c r="BL9" s="196" t="n">
        <v>27</v>
      </c>
      <c r="BM9" s="192" t="n">
        <v>74</v>
      </c>
      <c r="BN9" s="192" t="n">
        <v>100</v>
      </c>
      <c r="BO9" s="192" t="n">
        <v>80</v>
      </c>
      <c r="BP9" s="193" t="n">
        <v>86</v>
      </c>
      <c r="BQ9" s="194" t="n">
        <v>340</v>
      </c>
      <c r="BR9" s="195" t="str">
        <f>SUM(BS9:BW9)</f>
      </c>
      <c r="BS9" s="196" t="n">
        <v>66</v>
      </c>
      <c r="BT9" s="192" t="n">
        <v>82</v>
      </c>
      <c r="BU9" s="192" t="n">
        <v>76</v>
      </c>
      <c r="BV9" s="192" t="n">
        <v>79</v>
      </c>
      <c r="BW9" s="193" t="n">
        <v>28</v>
      </c>
      <c r="BX9" s="109" t="str">
        <f>BW9+CA9</f>
      </c>
      <c r="BY9" s="194" t="n">
        <v>350</v>
      </c>
      <c r="BZ9" s="195" t="str">
        <f>SUM(CA9:CE9)</f>
      </c>
      <c r="CA9" s="196" t="n">
        <v>49</v>
      </c>
      <c r="CB9" s="192" t="n">
        <v>105</v>
      </c>
      <c r="CC9" s="192" t="n">
        <v>100</v>
      </c>
      <c r="CD9" s="192" t="n">
        <v>74</v>
      </c>
      <c r="CE9" s="193" t="n">
        <v>73</v>
      </c>
      <c r="CF9" s="194" t="n">
        <v>350</v>
      </c>
      <c r="CG9" s="195" t="str">
        <f>SUM(CH9:CM9)</f>
      </c>
      <c r="CH9" s="197" t="n">
        <v>19</v>
      </c>
      <c r="CI9" s="197" t="n">
        <v>114</v>
      </c>
      <c r="CJ9" s="192" t="n">
        <v>89</v>
      </c>
      <c r="CK9" s="192" t="n">
        <v>75</v>
      </c>
      <c r="CL9" s="192" t="n">
        <v>93</v>
      </c>
      <c r="CM9" s="193" t="n">
        <v>6</v>
      </c>
      <c r="CN9" s="194" t="n">
        <v>350</v>
      </c>
      <c r="CO9" s="115" t="str">
        <f>SUM(CP9:CT9)</f>
      </c>
      <c r="CP9" s="192" t="n">
        <v>72</v>
      </c>
      <c r="CQ9" s="192" t="n">
        <v>86</v>
      </c>
      <c r="CR9" s="192" t="n">
        <v>84</v>
      </c>
      <c r="CS9" s="192" t="n">
        <v>91</v>
      </c>
      <c r="CT9" s="193" t="n">
        <v>51</v>
      </c>
      <c r="CU9" s="194" t="n">
        <v>350</v>
      </c>
      <c r="CV9" s="115" t="str">
        <f>SUM(CW9:DA9)</f>
      </c>
      <c r="CW9" s="192" t="n">
        <v>50</v>
      </c>
      <c r="CX9" s="192" t="n">
        <v>115</v>
      </c>
      <c r="CY9" s="192" t="n">
        <v>114</v>
      </c>
      <c r="CZ9" s="192" t="n">
        <v>119</v>
      </c>
      <c r="DA9" s="193" t="n">
        <v>93</v>
      </c>
      <c r="DB9" s="194" t="n">
        <v>350</v>
      </c>
      <c r="DC9" s="115" t="str">
        <f>SUM(DD9:DI9)</f>
      </c>
      <c r="DD9" s="198" t="n">
        <v>13</v>
      </c>
      <c r="DE9" s="198" t="n">
        <v>123</v>
      </c>
      <c r="DF9" s="192" t="n">
        <v>128</v>
      </c>
      <c r="DG9" s="192" t="n">
        <v>129</v>
      </c>
      <c r="DH9" s="192" t="n">
        <v>136</v>
      </c>
      <c r="DI9" s="193" t="n">
        <v>26</v>
      </c>
      <c r="DJ9" s="194" t="n">
        <v>350</v>
      </c>
      <c r="DK9" s="199" t="str">
        <f>SUM(DL9:DP9)</f>
      </c>
      <c r="DL9" s="198" t="n">
        <v>114</v>
      </c>
      <c r="DM9" s="192" t="n">
        <v>113</v>
      </c>
      <c r="DN9" s="192" t="n">
        <v>110</v>
      </c>
      <c r="DO9" s="192" t="n">
        <v>136</v>
      </c>
      <c r="DP9" s="193" t="n">
        <v>16</v>
      </c>
      <c r="DQ9" s="194" t="n">
        <v>350</v>
      </c>
      <c r="DR9" s="199" t="str">
        <f>SUM(DS9:DW9)</f>
      </c>
      <c r="DS9" s="198" t="n">
        <v>87</v>
      </c>
      <c r="DT9" s="192" t="n">
        <v>117</v>
      </c>
      <c r="DU9" s="192" t="n">
        <v>99</v>
      </c>
      <c r="DV9" s="192" t="n">
        <v>64</v>
      </c>
      <c r="DW9" s="193" t="n">
        <v>14</v>
      </c>
      <c r="DX9" s="194" t="n">
        <v>260</v>
      </c>
      <c r="DY9" s="199" t="str">
        <f>SUM(DZ9:EE9)</f>
      </c>
      <c r="DZ9" s="198" t="n">
        <v>4</v>
      </c>
      <c r="EA9" s="192" t="n">
        <v>46</v>
      </c>
      <c r="EB9" s="192" t="n">
        <v>54</v>
      </c>
      <c r="EC9" s="192" t="n">
        <v>75</v>
      </c>
      <c r="ED9" s="193" t="n">
        <v>79</v>
      </c>
      <c r="EE9" s="193" t="n">
        <v>9</v>
      </c>
      <c r="EF9" s="194" t="n">
        <v>380</v>
      </c>
      <c r="EG9" s="200" t="str">
        <f>SUM(EH9:EL9)</f>
      </c>
      <c r="EH9" s="198" t="n">
        <v>79</v>
      </c>
      <c r="EI9" s="192" t="n">
        <v>71</v>
      </c>
      <c r="EJ9" s="192" t="n">
        <v>95</v>
      </c>
      <c r="EK9" s="192" t="n">
        <v>103</v>
      </c>
      <c r="EL9" s="201" t="n">
        <v>20</v>
      </c>
      <c r="EM9" s="194" t="n">
        <v>380</v>
      </c>
      <c r="EN9" s="200" t="str">
        <f>SUM(EO9:ES9)</f>
      </c>
      <c r="EO9" s="198" t="n">
        <v>63</v>
      </c>
      <c r="EP9" s="192" t="n">
        <v>74</v>
      </c>
      <c r="EQ9" s="192" t="n">
        <v>89</v>
      </c>
      <c r="ER9" s="192" t="n">
        <v>78</v>
      </c>
      <c r="ES9" s="201" t="n">
        <v>64</v>
      </c>
      <c r="ET9" s="194" t="n">
        <v>380</v>
      </c>
      <c r="EU9" s="202" t="str">
        <f>SUM(EV9:EY9)</f>
      </c>
      <c r="EV9" s="203" t="n">
        <v>102</v>
      </c>
      <c r="EW9" s="204" t="n">
        <v>81</v>
      </c>
      <c r="EX9" s="204" t="n">
        <v>60</v>
      </c>
      <c r="EY9" s="205" t="n">
        <v>73</v>
      </c>
      <c r="EZ9" s="194" t="n">
        <v>380</v>
      </c>
      <c r="FA9" s="200" t="str">
        <f>SUM(FB9:FF9)</f>
      </c>
      <c r="FB9" s="198" t="n">
        <v>31</v>
      </c>
      <c r="FC9" s="192" t="n">
        <v>60</v>
      </c>
      <c r="FD9" s="192" t="n">
        <v>57</v>
      </c>
      <c r="FE9" s="192" t="n">
        <v>78</v>
      </c>
      <c r="FF9" s="192" t="n">
        <v>71</v>
      </c>
      <c r="FG9" s="206" t="n">
        <v>540</v>
      </c>
      <c r="FH9" s="207" t="str">
        <f>SUM(FI9:FL9)</f>
      </c>
      <c r="FI9" s="198" t="n">
        <v>81</v>
      </c>
      <c r="FJ9" s="192" t="n">
        <v>54</v>
      </c>
      <c r="FK9" s="192" t="n">
        <v>94</v>
      </c>
      <c r="FL9" s="192" t="n">
        <v>113</v>
      </c>
      <c r="FM9" s="206" t="n">
        <v>540</v>
      </c>
      <c r="FN9" s="207" t="str">
        <f>SUM(FO9:FR9)</f>
      </c>
      <c r="FO9" s="198" t="n">
        <v>89</v>
      </c>
      <c r="FP9" s="192" t="n">
        <v>88</v>
      </c>
      <c r="FQ9" s="192" t="n">
        <v>69</v>
      </c>
      <c r="FR9" s="192" t="n">
        <v>93</v>
      </c>
      <c r="FS9" s="190" t="n">
        <v>540</v>
      </c>
      <c r="FT9" s="207" t="str">
        <f>SUM(FU9:FY9)</f>
      </c>
      <c r="FU9" s="198" t="n">
        <v>80</v>
      </c>
      <c r="FV9" s="192" t="n">
        <v>89</v>
      </c>
      <c r="FW9" s="192" t="n">
        <v>118</v>
      </c>
      <c r="FX9" s="192" t="n">
        <v>91</v>
      </c>
      <c r="FY9" s="192" t="n">
        <v>67</v>
      </c>
      <c r="FZ9" s="206" t="n">
        <v>540</v>
      </c>
      <c r="GA9" s="207" t="str">
        <f>SUM(GB9:GE9)</f>
      </c>
      <c r="GB9" s="198" t="n">
        <v>121</v>
      </c>
      <c r="GC9" s="192" t="n">
        <v>133</v>
      </c>
      <c r="GD9" s="192" t="n">
        <v>119</v>
      </c>
      <c r="GE9" s="192" t="n">
        <v>132</v>
      </c>
      <c r="GF9" s="208"/>
      <c r="GG9" s="208"/>
      <c r="GH9" s="208"/>
      <c r="GI9" s="208"/>
      <c r="GJ9" s="208"/>
      <c r="GK9" s="208"/>
      <c r="GL9" s="208"/>
      <c r="GM9" s="208"/>
      <c r="GN9" s="208"/>
      <c r="GO9" s="208"/>
      <c r="GP9" s="208"/>
      <c r="GQ9" s="208"/>
    </row>
    <row r="10" ht="15.75">
      <c r="A10" s="209" t="s">
        <v>155</v>
      </c>
      <c r="B10" s="130" t="str">
        <f>B8/B9</f>
      </c>
      <c r="C10" s="131" t="str">
        <f>C8/C9</f>
      </c>
      <c r="D10" s="94" t="str">
        <f>D8/D9</f>
      </c>
      <c r="E10" s="94" t="str">
        <f>E8/E9</f>
      </c>
      <c r="F10" s="94" t="str">
        <f>F8/F9</f>
      </c>
      <c r="G10" s="94" t="str">
        <f>G8/G9</f>
      </c>
      <c r="H10" s="94" t="str">
        <f>H8/H9</f>
      </c>
      <c r="I10" s="95" t="str">
        <f>I8/I9</f>
      </c>
      <c r="J10" s="130" t="str">
        <f>J8/J9</f>
      </c>
      <c r="K10" s="131" t="str">
        <f>K8/K9</f>
      </c>
      <c r="L10" s="94" t="str">
        <f>L8/L9</f>
      </c>
      <c r="M10" s="94" t="str">
        <f>M8/M9</f>
      </c>
      <c r="N10" s="94" t="str">
        <f>N8/N9</f>
      </c>
      <c r="O10" s="94" t="str">
        <f>O8/O9</f>
      </c>
      <c r="P10" s="94" t="str">
        <f>P8/P9</f>
      </c>
      <c r="Q10" s="130" t="n">
        <v>17042.67</v>
      </c>
      <c r="R10" s="131" t="str">
        <f>R8/R9</f>
      </c>
      <c r="S10" s="210" t="str">
        <f>S8/S9</f>
      </c>
      <c r="T10" s="94" t="str">
        <f>T8/T9</f>
      </c>
      <c r="U10" s="94" t="str">
        <f>U8/U9</f>
      </c>
      <c r="V10" s="94" t="str">
        <f>V8/V9</f>
      </c>
      <c r="W10" s="94" t="str">
        <f>W8/W9</f>
      </c>
      <c r="X10" s="211" t="str">
        <f>X8/X9</f>
      </c>
      <c r="Y10" s="107" t="str">
        <f>Y8/Y9</f>
      </c>
      <c r="Z10" s="108" t="str">
        <f>Z8/Z9</f>
      </c>
      <c r="AA10" s="94" t="str">
        <f>AA8/AA9</f>
      </c>
      <c r="AB10" s="94" t="str">
        <f>AB8/AB9</f>
      </c>
      <c r="AC10" s="94" t="str">
        <f>AC8/AC9</f>
      </c>
      <c r="AD10" s="94" t="str">
        <f>AD8/AD9</f>
      </c>
      <c r="AE10" s="95" t="str">
        <f>AE8/AE9</f>
      </c>
      <c r="AF10" s="212" t="str">
        <f>AF8/AF9</f>
      </c>
      <c r="AG10" s="108" t="str">
        <f>AG8/AG9</f>
      </c>
      <c r="AH10" s="213" t="str">
        <f>AH8/AH9</f>
      </c>
      <c r="AI10" s="112" t="str">
        <f>AI8/AI9</f>
      </c>
      <c r="AJ10" s="112" t="str">
        <f>AJ8/AJ9</f>
      </c>
      <c r="AK10" s="112" t="str">
        <f>AK8/AK9</f>
      </c>
      <c r="AL10" s="214" t="str">
        <f>AL8/AL9</f>
      </c>
      <c r="AM10" s="107" t="str">
        <f>AM8/AM9</f>
      </c>
      <c r="AN10" s="108" t="str">
        <f>AN8/AN9</f>
      </c>
      <c r="AO10" s="112" t="str">
        <f>AO8/AO9</f>
      </c>
      <c r="AP10" s="113" t="str">
        <f>AP8/AP9</f>
      </c>
      <c r="AQ10" s="113" t="str">
        <f>AQ8/AQ9</f>
      </c>
      <c r="AR10" s="113" t="str">
        <f>AR8/AR9</f>
      </c>
      <c r="AS10" s="215" t="str">
        <f>AS8/AS9</f>
      </c>
      <c r="AT10" s="195" t="str">
        <f>AT8/AT9</f>
      </c>
      <c r="AU10" s="108" t="str">
        <f>AU8/AU9</f>
      </c>
      <c r="AV10" s="112" t="str">
        <f>AV8/AV9</f>
      </c>
      <c r="AW10" s="113" t="str">
        <f>AW8/AW9</f>
      </c>
      <c r="AX10" s="113" t="str">
        <f>AX8/AX9</f>
      </c>
      <c r="AY10" s="113" t="str">
        <f>AY8/AY9</f>
      </c>
      <c r="AZ10" s="113" t="str">
        <f>AZ8/AZ9</f>
      </c>
      <c r="BA10" s="109" t="str">
        <f>BA8/BA9</f>
      </c>
      <c r="BB10" s="195" t="str">
        <f>BB8/BB9</f>
      </c>
      <c r="BC10" s="195" t="str">
        <f>BC8/BC9</f>
      </c>
      <c r="BD10" s="113" t="str">
        <f>BD8/BD9</f>
      </c>
      <c r="BE10" s="113" t="str">
        <f>BE8/BE9</f>
      </c>
      <c r="BF10" s="113" t="str">
        <f>BF8/BF9</f>
      </c>
      <c r="BG10" s="113" t="str">
        <f>BG8/BG9</f>
      </c>
      <c r="BH10" s="113" t="str">
        <f>BH8/BH9</f>
      </c>
      <c r="BI10" s="109" t="str">
        <f>BI8/BI9</f>
      </c>
      <c r="BJ10" s="195" t="str">
        <f>BJ8/BJ9</f>
      </c>
      <c r="BK10" s="195" t="str">
        <f>BK8/BK9</f>
      </c>
      <c r="BL10" s="113" t="str">
        <f>BL8/BL9</f>
      </c>
      <c r="BM10" s="113" t="str">
        <f>BM8/BM9</f>
      </c>
      <c r="BN10" s="113" t="str">
        <f>BN8/BN9</f>
      </c>
      <c r="BO10" s="113" t="str">
        <f>BO8/BO9</f>
      </c>
      <c r="BP10" s="113" t="str">
        <f>BP8/BP9</f>
      </c>
      <c r="BQ10" s="195" t="str">
        <f>BQ8/BQ9</f>
      </c>
      <c r="BR10" s="195" t="str">
        <f>BR8/BR9</f>
      </c>
      <c r="BS10" s="113" t="str">
        <f>BS8/BS9</f>
      </c>
      <c r="BT10" s="113" t="str">
        <f>BT8/BT9</f>
      </c>
      <c r="BU10" s="113" t="str">
        <f>BU8/BU9</f>
      </c>
      <c r="BV10" s="113" t="str">
        <f>BV8/BV9</f>
      </c>
      <c r="BW10" s="113" t="str">
        <f>BW8/BW9</f>
      </c>
      <c r="BX10" s="113" t="str">
        <f>BX8/BX9</f>
      </c>
      <c r="BY10" s="111" t="n">
        <v>19000</v>
      </c>
      <c r="BZ10" s="195" t="str">
        <f>BZ8/BZ9</f>
      </c>
      <c r="CA10" s="113" t="str">
        <f>CA8/CA9</f>
      </c>
      <c r="CB10" s="113" t="str">
        <f>CB8/CB9</f>
      </c>
      <c r="CC10" s="113" t="str">
        <f>CC8/CC9</f>
      </c>
      <c r="CD10" s="113" t="str">
        <f>CD8/CD9</f>
      </c>
      <c r="CE10" s="113" t="str">
        <f>CE8/CE9</f>
      </c>
      <c r="CF10" s="111" t="n">
        <v>19000</v>
      </c>
      <c r="CG10" s="195" t="str">
        <f>CG8/CG9</f>
      </c>
      <c r="CH10" s="113" t="str">
        <f>CH8/CH9</f>
      </c>
      <c r="CI10" s="113" t="str">
        <f>CI8/CI9</f>
      </c>
      <c r="CJ10" s="113" t="str">
        <f>CJ8/CJ9</f>
      </c>
      <c r="CK10" s="113" t="str">
        <f>CK8/CK9</f>
      </c>
      <c r="CL10" s="113" t="str">
        <f>CL8/CL9</f>
      </c>
      <c r="CM10" s="113" t="str">
        <f>CM8/CM9</f>
      </c>
      <c r="CN10" s="111" t="n">
        <v>19000</v>
      </c>
      <c r="CO10" s="115" t="str">
        <f>CO8/CO9</f>
      </c>
      <c r="CP10" s="113" t="str">
        <f>CP8/CP9</f>
      </c>
      <c r="CQ10" s="113" t="str">
        <f>CQ8/CQ9</f>
      </c>
      <c r="CR10" s="113" t="str">
        <f>CR8/CR9</f>
      </c>
      <c r="CS10" s="113" t="str">
        <f>CS8/CS9</f>
      </c>
      <c r="CT10" s="113" t="str">
        <f>CT8/CT9</f>
      </c>
      <c r="CU10" s="111" t="n">
        <v>19000</v>
      </c>
      <c r="CV10" s="115" t="str">
        <f>CV8/CV9</f>
      </c>
      <c r="CW10" s="113" t="str">
        <f>CW8/CW9</f>
      </c>
      <c r="CX10" s="113" t="str">
        <f>CX8/CX9</f>
      </c>
      <c r="CY10" s="113" t="str">
        <f>CY8/CY9</f>
      </c>
      <c r="CZ10" s="113" t="str">
        <f>CZ8/CZ9</f>
      </c>
      <c r="DA10" s="113" t="str">
        <f>DA8/DA9</f>
      </c>
      <c r="DB10" s="111" t="n">
        <v>19000</v>
      </c>
      <c r="DC10" s="115" t="str">
        <f>DC8/DC9</f>
      </c>
      <c r="DD10" s="113" t="str">
        <f>DD8/DD9</f>
      </c>
      <c r="DE10" s="113" t="str">
        <f>DE8/DE9</f>
      </c>
      <c r="DF10" s="113" t="str">
        <f>DF8/DF9</f>
      </c>
      <c r="DG10" s="113" t="str">
        <f>DG8/DG9</f>
      </c>
      <c r="DH10" s="113" t="str">
        <f>DH8/DH9</f>
      </c>
      <c r="DI10" s="113" t="str">
        <f>DI8/DI9</f>
      </c>
      <c r="DJ10" s="111" t="n">
        <v>19000</v>
      </c>
      <c r="DK10" s="115" t="str">
        <f>DK8/DK9</f>
      </c>
      <c r="DL10" s="109" t="str">
        <f>DL8/DL9</f>
      </c>
      <c r="DM10" s="109" t="str">
        <f>DM8/DM9</f>
      </c>
      <c r="DN10" s="109" t="str">
        <f>DN8/DN9</f>
      </c>
      <c r="DO10" s="109" t="str">
        <f>DO8/DO9</f>
      </c>
      <c r="DP10" s="113" t="str">
        <f>DP8/DP9</f>
      </c>
      <c r="DQ10" s="111" t="n">
        <v>19000</v>
      </c>
      <c r="DR10" s="115" t="str">
        <f>DR8/DR9</f>
      </c>
      <c r="DS10" s="109" t="str">
        <f>DS8/DS9</f>
      </c>
      <c r="DT10" s="109" t="str">
        <f>DT8/DT9</f>
      </c>
      <c r="DU10" s="109" t="str">
        <f>DU8/DU9</f>
      </c>
      <c r="DV10" s="109" t="str">
        <f>DV8/DV9</f>
      </c>
      <c r="DW10" s="113" t="str">
        <f>DW8/DW9</f>
      </c>
      <c r="DX10" s="111" t="str">
        <f>DX8/DX9</f>
      </c>
      <c r="DY10" s="115" t="str">
        <f>DY8/DY9</f>
      </c>
      <c r="DZ10" s="109" t="str">
        <f>DZ8/DZ9</f>
      </c>
      <c r="EA10" s="109" t="str">
        <f>EA8/EA9</f>
      </c>
      <c r="EB10" s="109" t="str">
        <f>EB8/EB9</f>
      </c>
      <c r="EC10" s="109" t="str">
        <f>EC8/EC9</f>
      </c>
      <c r="ED10" s="113" t="str">
        <f>ED8/ED9</f>
      </c>
      <c r="EE10" s="113" t="str">
        <f>EE8/EE9</f>
      </c>
      <c r="EF10" s="216" t="n">
        <v>15000</v>
      </c>
      <c r="EG10" s="115" t="str">
        <f>EG8/EG9</f>
      </c>
      <c r="EH10" s="109" t="str">
        <f>EH8/EH9</f>
      </c>
      <c r="EI10" s="109" t="str">
        <f>EI8/EI9</f>
      </c>
      <c r="EJ10" s="109" t="str">
        <f>EJ8/EJ9</f>
      </c>
      <c r="EK10" s="109" t="str">
        <f>EK8/EK9</f>
      </c>
      <c r="EL10" s="116" t="str">
        <f>EL8/EL9</f>
      </c>
      <c r="EM10" s="216" t="n">
        <v>15000</v>
      </c>
      <c r="EN10" s="115" t="str">
        <f>EN8/EN9</f>
      </c>
      <c r="EO10" s="109" t="str">
        <f>EO8/EO9</f>
      </c>
      <c r="EP10" s="109" t="str">
        <f>EP8/EP9</f>
      </c>
      <c r="EQ10" s="109" t="str">
        <f>EQ8/EQ9</f>
      </c>
      <c r="ER10" s="109" t="str">
        <f>ER8/ER9</f>
      </c>
      <c r="ES10" s="116" t="str">
        <f>ES8/ES9</f>
      </c>
      <c r="ET10" s="216" t="n">
        <v>15000</v>
      </c>
      <c r="EU10" s="115" t="str">
        <f>EU8/EU9</f>
      </c>
      <c r="EV10" s="217" t="str">
        <f>EV8/EV9</f>
      </c>
      <c r="EW10" s="122" t="str">
        <f>EW8/EW9</f>
      </c>
      <c r="EX10" s="123" t="str">
        <f>EX8/EX9</f>
      </c>
      <c r="EY10" s="124" t="str">
        <f>EY8/EY9</f>
      </c>
      <c r="EZ10" s="216" t="n">
        <v>15000</v>
      </c>
      <c r="FA10" s="115" t="str">
        <f>FA8/FA9</f>
      </c>
      <c r="FB10" s="109" t="str">
        <f>FB8/FB9</f>
      </c>
      <c r="FC10" s="109" t="str">
        <f>FC8/FC9</f>
      </c>
      <c r="FD10" s="109" t="str">
        <f>FD8/FD9</f>
      </c>
      <c r="FE10" s="109" t="str">
        <f>FE8/FE9</f>
      </c>
      <c r="FF10" s="109" t="str">
        <f>FF8/FF9</f>
      </c>
      <c r="FG10" s="125" t="n">
        <v>18000</v>
      </c>
      <c r="FH10" s="108" t="str">
        <f>FH8/FH9</f>
      </c>
      <c r="FI10" s="109" t="str">
        <f>FI8/FI9</f>
      </c>
      <c r="FJ10" s="109" t="str">
        <f>FJ8/FJ9</f>
      </c>
      <c r="FK10" s="109" t="str">
        <f>FK8/FK9</f>
      </c>
      <c r="FL10" s="109" t="str">
        <f>FL8/FL9</f>
      </c>
      <c r="FM10" s="125" t="n">
        <v>18000</v>
      </c>
      <c r="FN10" s="108" t="str">
        <f>FN8/FN9</f>
      </c>
      <c r="FO10" s="109" t="str">
        <f>FO8/FO9</f>
      </c>
      <c r="FP10" s="109" t="str">
        <f>FP8/FP9</f>
      </c>
      <c r="FQ10" s="109" t="str">
        <f>FQ8/FQ9</f>
      </c>
      <c r="FR10" s="109" t="str">
        <f>FR8/FR9</f>
      </c>
      <c r="FS10" s="127" t="n">
        <v>21000</v>
      </c>
      <c r="FT10" s="108" t="str">
        <f>FT8/FT9</f>
      </c>
      <c r="FU10" s="109" t="str">
        <f>FU8/FU9</f>
      </c>
      <c r="FV10" s="109" t="str">
        <f>FV8/FV9</f>
      </c>
      <c r="FW10" s="109" t="str">
        <f>FW8/FW9</f>
      </c>
      <c r="FX10" s="109" t="str">
        <f>FX8/FX9</f>
      </c>
      <c r="FY10" s="109" t="str">
        <f>FY8/FY9</f>
      </c>
      <c r="FZ10" s="125" t="n">
        <v>21000</v>
      </c>
      <c r="GA10" s="108" t="str">
        <f>GA8/GA9</f>
      </c>
      <c r="GB10" s="109" t="str">
        <f>GB8/GB9</f>
      </c>
      <c r="GC10" s="109" t="str">
        <f>GC8/GC9</f>
      </c>
      <c r="GD10" s="109" t="str">
        <f>GD8/GD9</f>
      </c>
      <c r="GE10" s="109" t="str">
        <f>GE8/GE9</f>
      </c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</row>
    <row r="11" ht="15.75">
      <c r="A11" s="173" t="s">
        <v>156</v>
      </c>
      <c r="B11" s="218" t="str">
        <f>(B7+40000)/B9</f>
      </c>
      <c r="C11" s="219" t="str">
        <f>(C7+40000)/C9</f>
      </c>
      <c r="D11" s="220" t="str">
        <f>(D7+40000)/D9</f>
      </c>
      <c r="E11" s="220" t="str">
        <f>(E7+40000)/E9</f>
      </c>
      <c r="F11" s="220" t="str">
        <f>(F7+40000)/F9</f>
      </c>
      <c r="G11" s="220" t="str">
        <f>(G7+40000)/G9</f>
      </c>
      <c r="H11" s="220" t="str">
        <f>(H7+40000)/H9</f>
      </c>
      <c r="I11" s="220" t="str">
        <f>(I7+40000)/I9</f>
      </c>
      <c r="J11" s="218" t="str">
        <f>(J7+40000)/J9</f>
      </c>
      <c r="K11" s="219" t="str">
        <f>(K7+40000)/K9</f>
      </c>
      <c r="L11" s="220" t="str">
        <f>(L7+40000)/L9</f>
      </c>
      <c r="M11" s="220" t="str">
        <f>(M7+40000)/M9</f>
      </c>
      <c r="N11" s="220" t="str">
        <f>(N7+40000)/N9</f>
      </c>
      <c r="O11" s="220" t="str">
        <f>(O7+40000)/O9</f>
      </c>
      <c r="P11" s="220" t="str">
        <f>(P7+40000)/P9</f>
      </c>
      <c r="Q11" s="218" t="str">
        <f>Q7/Q9</f>
      </c>
      <c r="R11" s="219" t="str">
        <f>(R7+40000)/R9</f>
      </c>
      <c r="S11" s="221" t="str">
        <f>S7/S9</f>
      </c>
      <c r="T11" s="220" t="str">
        <f>(T7+40000)/T9</f>
      </c>
      <c r="U11" s="220" t="str">
        <f>U7/U9</f>
      </c>
      <c r="V11" s="220" t="str">
        <f>V7/V9</f>
      </c>
      <c r="W11" s="220" t="str">
        <f>W7/W9</f>
      </c>
      <c r="X11" s="222" t="str">
        <f>X7/X9</f>
      </c>
      <c r="Y11" s="107" t="str">
        <f>Y7/Y9</f>
      </c>
      <c r="Z11" s="108" t="str">
        <f>Z7/Z9</f>
      </c>
      <c r="AA11" s="94" t="str">
        <f>AA7/AA9</f>
      </c>
      <c r="AB11" s="94" t="str">
        <f>AB7/AB9</f>
      </c>
      <c r="AC11" s="94" t="str">
        <f>AC7/AC9</f>
      </c>
      <c r="AD11" s="94" t="str">
        <f>AD7/AD9</f>
      </c>
      <c r="AE11" s="95" t="str">
        <f>AE7/AE9</f>
      </c>
      <c r="AF11" s="223" t="str">
        <f>AF7/AF9</f>
      </c>
      <c r="AG11" s="108" t="str">
        <f>AG7/AG9</f>
      </c>
      <c r="AH11" s="95" t="str">
        <f>AH7/AH9</f>
      </c>
      <c r="AI11" s="95" t="str">
        <f>AI7/AI9</f>
      </c>
      <c r="AJ11" s="95" t="str">
        <f>AJ7/AJ9</f>
      </c>
      <c r="AK11" s="95" t="str">
        <f>AK7/AK9</f>
      </c>
      <c r="AL11" s="95" t="str">
        <f>AL7/AL9</f>
      </c>
      <c r="AM11" s="107"/>
      <c r="AN11" s="224"/>
      <c r="AO11" s="112"/>
      <c r="AP11" s="113"/>
      <c r="AQ11" s="113"/>
      <c r="AR11" s="113"/>
      <c r="AS11" s="225"/>
      <c r="AT11" s="195"/>
      <c r="AU11" s="224"/>
      <c r="AV11" s="112"/>
      <c r="AW11" s="113"/>
      <c r="AX11" s="113"/>
      <c r="AY11" s="113"/>
      <c r="AZ11" s="113"/>
      <c r="BA11" s="109"/>
      <c r="BB11" s="195"/>
      <c r="BC11" s="226"/>
      <c r="BD11" s="113"/>
      <c r="BE11" s="113"/>
      <c r="BF11" s="113"/>
      <c r="BG11" s="113"/>
      <c r="BH11" s="113"/>
      <c r="BI11" s="109"/>
      <c r="BJ11" s="195"/>
      <c r="BK11" s="226"/>
      <c r="BL11" s="113"/>
      <c r="BM11" s="113"/>
      <c r="BN11" s="113"/>
      <c r="BO11" s="113"/>
      <c r="BP11" s="113"/>
      <c r="BQ11" s="195"/>
      <c r="BR11" s="226"/>
      <c r="BS11" s="113"/>
      <c r="BT11" s="113"/>
      <c r="BU11" s="113"/>
      <c r="BV11" s="113"/>
      <c r="BW11" s="113"/>
      <c r="BX11" s="113"/>
      <c r="BY11" s="111"/>
      <c r="BZ11" s="226"/>
      <c r="CA11" s="113"/>
      <c r="CB11" s="113"/>
      <c r="CC11" s="113"/>
      <c r="CD11" s="113"/>
      <c r="CE11" s="113"/>
      <c r="CF11" s="111"/>
      <c r="CG11" s="226"/>
      <c r="CH11" s="113"/>
      <c r="CI11" s="113"/>
      <c r="CJ11" s="113"/>
      <c r="CK11" s="113"/>
      <c r="CL11" s="113"/>
      <c r="CM11" s="113"/>
      <c r="CN11" s="111"/>
      <c r="CO11" s="227"/>
      <c r="CP11" s="113"/>
      <c r="CQ11" s="113"/>
      <c r="CR11" s="113"/>
      <c r="CS11" s="113"/>
      <c r="CT11" s="113"/>
      <c r="CU11" s="227"/>
      <c r="CV11" s="227"/>
      <c r="CW11" s="113"/>
      <c r="CX11" s="113"/>
      <c r="CY11" s="113"/>
      <c r="CZ11" s="113"/>
      <c r="DA11" s="113"/>
      <c r="DB11" s="227"/>
      <c r="DC11" s="227"/>
      <c r="DD11" s="113"/>
      <c r="DE11" s="113"/>
      <c r="DF11" s="113"/>
      <c r="DG11" s="113"/>
      <c r="DH11" s="113"/>
      <c r="DI11" s="113"/>
      <c r="DJ11" s="227"/>
      <c r="DK11" s="228"/>
      <c r="DL11" s="109"/>
      <c r="DM11" s="109"/>
      <c r="DN11" s="109"/>
      <c r="DO11" s="109"/>
      <c r="DP11" s="113"/>
      <c r="DQ11" s="111"/>
      <c r="DR11" s="228"/>
      <c r="DS11" s="109"/>
      <c r="DT11" s="109"/>
      <c r="DU11" s="109"/>
      <c r="DV11" s="109"/>
      <c r="DW11" s="113"/>
      <c r="DX11" s="111"/>
      <c r="DY11" s="228"/>
      <c r="DZ11" s="109"/>
      <c r="EA11" s="109"/>
      <c r="EB11" s="109"/>
      <c r="EC11" s="109"/>
      <c r="ED11" s="113"/>
      <c r="EE11" s="113"/>
      <c r="EF11" s="216"/>
      <c r="EG11" s="228"/>
      <c r="EH11" s="109"/>
      <c r="EI11" s="109"/>
      <c r="EJ11" s="109"/>
      <c r="EK11" s="109"/>
      <c r="EL11" s="116"/>
      <c r="EM11" s="216"/>
      <c r="EN11" s="228"/>
      <c r="EO11" s="109"/>
      <c r="EP11" s="109"/>
      <c r="EQ11" s="109"/>
      <c r="ER11" s="109"/>
      <c r="ES11" s="116"/>
      <c r="ET11" s="216"/>
      <c r="EU11" s="228"/>
      <c r="EV11" s="217"/>
      <c r="EW11" s="122"/>
      <c r="EX11" s="123"/>
      <c r="EY11" s="124"/>
      <c r="EZ11" s="216"/>
      <c r="FA11" s="228"/>
      <c r="FB11" s="109"/>
      <c r="FC11" s="109"/>
      <c r="FD11" s="109"/>
      <c r="FE11" s="109"/>
      <c r="FF11" s="109"/>
      <c r="FG11" s="125"/>
      <c r="FH11" s="224"/>
      <c r="FI11" s="109"/>
      <c r="FJ11" s="109"/>
      <c r="FK11" s="109"/>
      <c r="FL11" s="109"/>
      <c r="FM11" s="125"/>
      <c r="FN11" s="224"/>
      <c r="FO11" s="109"/>
      <c r="FP11" s="109"/>
      <c r="FQ11" s="109"/>
      <c r="FR11" s="109"/>
      <c r="FS11" s="127"/>
      <c r="FT11" s="224"/>
      <c r="FU11" s="109"/>
      <c r="FV11" s="109"/>
      <c r="FW11" s="109"/>
      <c r="FX11" s="109"/>
      <c r="FY11" s="109"/>
      <c r="FZ11" s="125"/>
      <c r="GA11" s="224"/>
      <c r="GB11" s="109"/>
      <c r="GC11" s="109"/>
      <c r="GD11" s="109"/>
      <c r="GE11" s="109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</row>
    <row r="12" ht="15.75">
      <c r="A12" s="209" t="s">
        <v>157</v>
      </c>
      <c r="B12" s="229" t="str">
        <f>B7/B8</f>
      </c>
      <c r="C12" s="230" t="str">
        <f>C7/C8</f>
      </c>
      <c r="D12" s="231" t="str">
        <f>D7/D8</f>
      </c>
      <c r="E12" s="231" t="str">
        <f>E7/E8</f>
      </c>
      <c r="F12" s="231" t="str">
        <f>F7/F8</f>
      </c>
      <c r="G12" s="231" t="str">
        <f>G7/G8</f>
      </c>
      <c r="H12" s="231" t="str">
        <f>H7/H8</f>
      </c>
      <c r="I12" s="231" t="str">
        <f>I7/I8</f>
      </c>
      <c r="J12" s="229" t="str">
        <f>J7/J8</f>
      </c>
      <c r="K12" s="230" t="str">
        <f>K7/K8</f>
      </c>
      <c r="L12" s="231" t="str">
        <f>L7/L8</f>
      </c>
      <c r="M12" s="231" t="str">
        <f>M7/M8</f>
      </c>
      <c r="N12" s="231" t="str">
        <f>N7/N8</f>
      </c>
      <c r="O12" s="231" t="str">
        <f>O7/O8</f>
      </c>
      <c r="P12" s="231" t="str">
        <f>P7/P8</f>
      </c>
      <c r="Q12" s="229" t="str">
        <f>Q7/Q8</f>
      </c>
      <c r="R12" s="230" t="str">
        <f>R7/R8</f>
      </c>
      <c r="S12" s="231" t="str">
        <f>S7/S8</f>
      </c>
      <c r="T12" s="231" t="str">
        <f>T7/T8</f>
      </c>
      <c r="U12" s="231" t="str">
        <f>U7/U8</f>
      </c>
      <c r="V12" s="231" t="str">
        <f>V7/V8</f>
      </c>
      <c r="W12" s="231" t="str">
        <f>W7/W8</f>
      </c>
      <c r="X12" s="232" t="str">
        <f>X7/X8</f>
      </c>
      <c r="Y12" s="233" t="str">
        <f>Y7/Y8</f>
      </c>
      <c r="Z12" s="234" t="str">
        <f>Z7/Z8</f>
      </c>
      <c r="AA12" s="231" t="str">
        <f>AA7/AA8</f>
      </c>
      <c r="AB12" s="231" t="str">
        <f>AB7/AB8</f>
      </c>
      <c r="AC12" s="231" t="str">
        <f>AC7/AC8</f>
      </c>
      <c r="AD12" s="231" t="str">
        <f>AD7/AD8</f>
      </c>
      <c r="AE12" s="235" t="str">
        <f>AE7/AE8</f>
      </c>
      <c r="AF12" s="236" t="str">
        <f>AF7/AF8</f>
      </c>
      <c r="AG12" s="234" t="str">
        <f>AG7/AG8</f>
      </c>
      <c r="AH12" s="237" t="str">
        <f>AH7/AH8</f>
      </c>
      <c r="AI12" s="238" t="str">
        <f>AI7/AI8</f>
      </c>
      <c r="AJ12" s="238" t="str">
        <f>AJ7/AJ8</f>
      </c>
      <c r="AK12" s="238" t="str">
        <f>AK7/AK8</f>
      </c>
      <c r="AL12" s="239" t="str">
        <f>AL7/AL8</f>
      </c>
      <c r="AM12" s="233" t="str">
        <f>AM7/AM8</f>
      </c>
      <c r="AN12" s="234" t="str">
        <f>AN7/AN8</f>
      </c>
      <c r="AO12" s="238" t="str">
        <f>AO7/AO8</f>
      </c>
      <c r="AP12" s="240" t="str">
        <f>AP7/AP8</f>
      </c>
      <c r="AQ12" s="240" t="str">
        <f>AQ7/AQ8</f>
      </c>
      <c r="AR12" s="240" t="str">
        <f>AR7/AR8</f>
      </c>
      <c r="AS12" s="240" t="str">
        <f>AS7/AS8</f>
      </c>
      <c r="AT12" s="241" t="str">
        <f>AT7/AT8</f>
      </c>
      <c r="AU12" s="234" t="str">
        <f>AU7/AU8</f>
      </c>
      <c r="AV12" s="238" t="str">
        <f>AV7/AV8</f>
      </c>
      <c r="AW12" s="240" t="str">
        <f>AW7/AW8</f>
      </c>
      <c r="AX12" s="240" t="str">
        <f>AX7/AX8</f>
      </c>
      <c r="AY12" s="240" t="str">
        <f>AY7/AY8</f>
      </c>
      <c r="AZ12" s="240" t="str">
        <f>AZ7/AZ8</f>
      </c>
      <c r="BA12" s="109" t="str">
        <f>AZ12+BD12</f>
      </c>
      <c r="BB12" s="241" t="str">
        <f>BB7/BB8</f>
      </c>
      <c r="BC12" s="242" t="str">
        <f>BC7/BC8</f>
      </c>
      <c r="BD12" s="240" t="str">
        <f>BD7/BD8</f>
      </c>
      <c r="BE12" s="240" t="str">
        <f>BE7/BE8</f>
      </c>
      <c r="BF12" s="240" t="str">
        <f>BF7/BF8</f>
      </c>
      <c r="BG12" s="240" t="str">
        <f>BG7/BG8</f>
      </c>
      <c r="BH12" s="240" t="str">
        <f>BH7/BH8</f>
      </c>
      <c r="BI12" s="109" t="str">
        <f>BH12+BL12</f>
      </c>
      <c r="BJ12" s="241" t="str">
        <f>BJ7/BJ8</f>
      </c>
      <c r="BK12" s="242" t="str">
        <f>BK7/BK8</f>
      </c>
      <c r="BL12" s="243" t="str">
        <f>BL7/BL8</f>
      </c>
      <c r="BM12" s="243" t="str">
        <f>BM7/BM8</f>
      </c>
      <c r="BN12" s="243" t="str">
        <f>BN7/BN8</f>
      </c>
      <c r="BO12" s="243" t="str">
        <f>BO7/BO8</f>
      </c>
      <c r="BP12" s="243" t="str">
        <f>BP7/BP8</f>
      </c>
      <c r="BQ12" s="241" t="str">
        <f>BQ7/BQ8</f>
      </c>
      <c r="BR12" s="242" t="str">
        <f>BR7/BR8</f>
      </c>
      <c r="BS12" s="243" t="str">
        <f>BS7/BS8</f>
      </c>
      <c r="BT12" s="243" t="str">
        <f>BT7/BT8</f>
      </c>
      <c r="BU12" s="243" t="str">
        <f>BU7/BU8</f>
      </c>
      <c r="BV12" s="243" t="str">
        <f>BV7/BV8</f>
      </c>
      <c r="BW12" s="243" t="str">
        <f>BW7/BW8</f>
      </c>
      <c r="BX12" s="243" t="str">
        <f>BX7/BX8</f>
      </c>
      <c r="BY12" s="241" t="str">
        <f>BY7/BY8</f>
      </c>
      <c r="BZ12" s="242" t="str">
        <f>BZ7/BZ8</f>
      </c>
      <c r="CA12" s="243" t="str">
        <f>CA7/CA8</f>
      </c>
      <c r="CB12" s="243" t="str">
        <f>CB7/CB8</f>
      </c>
      <c r="CC12" s="243" t="str">
        <f>CC7/CC8</f>
      </c>
      <c r="CD12" s="243" t="str">
        <f>CD7/CD8</f>
      </c>
      <c r="CE12" s="243" t="str">
        <f>CE7/CE8</f>
      </c>
      <c r="CF12" s="241" t="str">
        <f>CF7/CF8</f>
      </c>
      <c r="CG12" s="242" t="str">
        <f>CG7/CG8</f>
      </c>
      <c r="CH12" s="243" t="str">
        <f>CH7/CH8</f>
      </c>
      <c r="CI12" s="243" t="str">
        <f>CI7/CI8</f>
      </c>
      <c r="CJ12" s="243" t="str">
        <f>CJ7/CJ8</f>
      </c>
      <c r="CK12" s="243" t="str">
        <f>CK7/CK8</f>
      </c>
      <c r="CL12" s="243" t="str">
        <f>CL7/CL8</f>
      </c>
      <c r="CM12" s="243" t="str">
        <f>CM7/CM8</f>
      </c>
      <c r="CN12" s="241" t="str">
        <f>CN7/CN8</f>
      </c>
      <c r="CO12" s="244" t="str">
        <f>CO7/CO8</f>
      </c>
      <c r="CP12" s="243" t="str">
        <f>CP7/CP8</f>
      </c>
      <c r="CQ12" s="243" t="str">
        <f>CQ7/CQ8</f>
      </c>
      <c r="CR12" s="243" t="str">
        <f>CR7/CR8</f>
      </c>
      <c r="CS12" s="243" t="str">
        <f>CS7/CS8</f>
      </c>
      <c r="CT12" s="243" t="str">
        <f>CT7/CT8</f>
      </c>
      <c r="CU12" s="244" t="str">
        <f>CU7/CU8</f>
      </c>
      <c r="CV12" s="244" t="str">
        <f>CV7/CV8</f>
      </c>
      <c r="CW12" s="245" t="str">
        <f>CW7/CW8</f>
      </c>
      <c r="CX12" s="245" t="str">
        <f>CX7/CX8</f>
      </c>
      <c r="CY12" s="246" t="str">
        <f>CY7/CY8</f>
      </c>
      <c r="CZ12" s="246" t="str">
        <f>CZ7/CZ8</f>
      </c>
      <c r="DA12" s="243" t="str">
        <f>DA7/DA8</f>
      </c>
      <c r="DB12" s="244" t="str">
        <f>DB7/DB8</f>
      </c>
      <c r="DC12" s="244" t="str">
        <f>DC7/DC8</f>
      </c>
      <c r="DD12" s="245" t="str">
        <f>DD7/DD8</f>
      </c>
      <c r="DE12" s="245" t="str">
        <f>DE7/DE8</f>
      </c>
      <c r="DF12" s="245" t="str">
        <f>DF7/DF8</f>
      </c>
      <c r="DG12" s="246" t="str">
        <f>DG7/DG8</f>
      </c>
      <c r="DH12" s="246" t="str">
        <f>DH7/DH8</f>
      </c>
      <c r="DI12" s="243" t="str">
        <f>DI7/DI8</f>
      </c>
      <c r="DJ12" s="244" t="str">
        <f>DJ7/DJ8</f>
      </c>
      <c r="DK12" s="247" t="str">
        <f>DK7/DK8</f>
      </c>
      <c r="DL12" s="248" t="str">
        <f>DL7/DL8</f>
      </c>
      <c r="DM12" s="248" t="str">
        <f>DM7/DM8</f>
      </c>
      <c r="DN12" s="249" t="str">
        <f>DN7/DN8</f>
      </c>
      <c r="DO12" s="249" t="str">
        <f>DO7/DO8</f>
      </c>
      <c r="DP12" s="246" t="str">
        <f>DP7/DP8</f>
      </c>
      <c r="DQ12" s="241" t="str">
        <f>DQ7/DQ8</f>
      </c>
      <c r="DR12" s="247" t="str">
        <f>DR7/DR8</f>
      </c>
      <c r="DS12" s="248" t="str">
        <f>DS7/DS8</f>
      </c>
      <c r="DT12" s="248" t="str">
        <f>DT7/DT8</f>
      </c>
      <c r="DU12" s="249" t="str">
        <f>DU7/DU8</f>
      </c>
      <c r="DV12" s="249" t="str">
        <f>DV7/DV8</f>
      </c>
      <c r="DW12" s="246" t="str">
        <f>DW7/DW8</f>
      </c>
      <c r="DX12" s="241" t="str">
        <f>DX7/DX8</f>
      </c>
      <c r="DY12" s="247" t="str">
        <f>DY7/DY8</f>
      </c>
      <c r="DZ12" s="248" t="str">
        <f>DZ7/DZ8</f>
      </c>
      <c r="EA12" s="248" t="str">
        <f>EA7/EA8</f>
      </c>
      <c r="EB12" s="249" t="str">
        <f>EB7/EB8</f>
      </c>
      <c r="EC12" s="249" t="str">
        <f>EC7/EC8</f>
      </c>
      <c r="ED12" s="246" t="str">
        <f>ED7/ED8</f>
      </c>
      <c r="EE12" s="246" t="str">
        <f>EE7/EE8</f>
      </c>
      <c r="EF12" s="250" t="str">
        <f>EF7/EF8</f>
      </c>
      <c r="EG12" s="251" t="str">
        <f>EG7/EG8</f>
      </c>
      <c r="EH12" s="248" t="str">
        <f>EH7/EH8</f>
      </c>
      <c r="EI12" s="248" t="str">
        <f>EI7/EI8</f>
      </c>
      <c r="EJ12" s="249" t="str">
        <f>EJ7/EJ8</f>
      </c>
      <c r="EK12" s="249" t="str">
        <f>EK7/EK8</f>
      </c>
      <c r="EL12" s="252" t="str">
        <f>EL7/EL8</f>
      </c>
      <c r="EM12" s="250" t="str">
        <f>EM7/EM8</f>
      </c>
      <c r="EN12" s="251" t="str">
        <f>EN7/EN8</f>
      </c>
      <c r="EO12" s="248" t="str">
        <f>EO7/EO8</f>
      </c>
      <c r="EP12" s="248" t="str">
        <f>EP7/EP8</f>
      </c>
      <c r="EQ12" s="249" t="str">
        <f>EQ7/EQ8</f>
      </c>
      <c r="ER12" s="249" t="str">
        <f>ER7/ER8</f>
      </c>
      <c r="ES12" s="252" t="str">
        <f>ES7/ES8</f>
      </c>
      <c r="ET12" s="250" t="str">
        <f>ET7/ET8</f>
      </c>
      <c r="EU12" s="251" t="str">
        <f>EU7/EU8</f>
      </c>
      <c r="EV12" s="253" t="str">
        <f>EV7/EV8*100%</f>
      </c>
      <c r="EW12" s="245" t="str">
        <f>EW7/EW8*100%</f>
      </c>
      <c r="EX12" s="254" t="str">
        <f>EX7/EX8*100%</f>
      </c>
      <c r="EY12" s="255" t="str">
        <f>EY7/EY8*100%</f>
      </c>
      <c r="EZ12" s="250" t="str">
        <f>EZ7/EZ8</f>
      </c>
      <c r="FA12" s="251" t="str">
        <f>FA7/FA8</f>
      </c>
      <c r="FB12" s="248" t="str">
        <f>FB7/FB8</f>
      </c>
      <c r="FC12" s="248" t="str">
        <f>FC7/FC8</f>
      </c>
      <c r="FD12" s="249" t="str">
        <f>FD7/FD8</f>
      </c>
      <c r="FE12" s="249" t="str">
        <f>FE7/FE8</f>
      </c>
      <c r="FF12" s="249" t="str">
        <f>FF7/FF8</f>
      </c>
      <c r="FG12" s="256" t="str">
        <f>FG7/FG8</f>
      </c>
      <c r="FH12" s="257" t="str">
        <f>FH7/FH8</f>
      </c>
      <c r="FI12" s="248" t="str">
        <f>FI7/FI8</f>
      </c>
      <c r="FJ12" s="248" t="str">
        <f>FJ7/FJ8</f>
      </c>
      <c r="FK12" s="249" t="str">
        <f>FK7/FK8</f>
      </c>
      <c r="FL12" s="249" t="str">
        <f>FL7/FL8</f>
      </c>
      <c r="FM12" s="256" t="str">
        <f>FM7/FM8</f>
      </c>
      <c r="FN12" s="257" t="str">
        <f>FN7/FN8</f>
      </c>
      <c r="FO12" s="248" t="str">
        <f>FO7/FO8</f>
      </c>
      <c r="FP12" s="248" t="str">
        <f>FP7/FP8</f>
      </c>
      <c r="FQ12" s="249" t="str">
        <f>FQ7/FQ8</f>
      </c>
      <c r="FR12" s="249" t="str">
        <f>FR7/FR8</f>
      </c>
      <c r="FS12" s="258" t="str">
        <f>FS7/FS8</f>
      </c>
      <c r="FT12" s="257" t="str">
        <f>FT7/FT8</f>
      </c>
      <c r="FU12" s="248" t="str">
        <f>FU7/FU8</f>
      </c>
      <c r="FV12" s="248" t="str">
        <f>FV7/FV8</f>
      </c>
      <c r="FW12" s="249" t="str">
        <f>FW7/FW8</f>
      </c>
      <c r="FX12" s="249" t="str">
        <f>FX7/FX8</f>
      </c>
      <c r="FY12" s="249" t="str">
        <f>FY7/FY8</f>
      </c>
      <c r="FZ12" s="256" t="str">
        <f>FZ7/FZ8</f>
      </c>
      <c r="GA12" s="257" t="str">
        <f>GA7/GA8</f>
      </c>
      <c r="GB12" s="248" t="str">
        <f>GB7/GB8</f>
      </c>
      <c r="GC12" s="248" t="str">
        <f>GC7/GC8</f>
      </c>
      <c r="GD12" s="249" t="str">
        <f>GD7/GD8</f>
      </c>
      <c r="GE12" s="249" t="str">
        <f>GE7/GE8</f>
      </c>
      <c r="GF12" s="259"/>
      <c r="GG12" s="259"/>
      <c r="GH12" s="259"/>
      <c r="GI12" s="259"/>
      <c r="GJ12" s="259"/>
      <c r="GK12" s="259"/>
      <c r="GL12" s="259"/>
      <c r="GM12" s="259"/>
      <c r="GN12" s="259"/>
      <c r="GO12" s="259"/>
      <c r="GP12" s="259"/>
      <c r="GQ12" s="259"/>
    </row>
    <row r="13" ht="15.75">
      <c r="A13" s="209" t="s">
        <v>158</v>
      </c>
      <c r="B13" s="229" t="str">
        <f>B8*30%/B7</f>
      </c>
      <c r="C13" s="230" t="str">
        <f>C8*30%/C7</f>
      </c>
      <c r="D13" s="231" t="str">
        <f>D8*30%/D7</f>
      </c>
      <c r="E13" s="231" t="str">
        <f>E8*30%/E7</f>
      </c>
      <c r="F13" s="231" t="str">
        <f>F8*30%/F7</f>
      </c>
      <c r="G13" s="231" t="str">
        <f>G8*30%/G7</f>
      </c>
      <c r="H13" s="231" t="str">
        <f>H8*30%/H7</f>
      </c>
      <c r="I13" s="260" t="str">
        <f>I8*30%/I7</f>
      </c>
      <c r="J13" s="229" t="str">
        <f>J8*30%/J7</f>
      </c>
      <c r="K13" s="230" t="str">
        <f>K8*30%/K7</f>
      </c>
      <c r="L13" s="260" t="str">
        <f>L8*30%/L7</f>
      </c>
      <c r="M13" s="260" t="str">
        <f>M8*30%/M7</f>
      </c>
      <c r="N13" s="260" t="str">
        <f>N8*30%/N7</f>
      </c>
      <c r="O13" s="260" t="str">
        <f>O8*30%/O7</f>
      </c>
      <c r="P13" s="260" t="str">
        <f>P8*30%/P7</f>
      </c>
      <c r="Q13" s="229" t="str">
        <f>Q8*30%/Q7</f>
      </c>
      <c r="R13" s="230" t="str">
        <f>R8*30%/R7</f>
      </c>
      <c r="S13" s="260" t="str">
        <f>S8*30%/S7</f>
      </c>
      <c r="T13" s="260" t="str">
        <f>T8*30%/T7</f>
      </c>
      <c r="U13" s="260" t="str">
        <f>U8*30%/U7</f>
      </c>
      <c r="V13" s="260" t="str">
        <f>V8*30%/V7</f>
      </c>
      <c r="W13" s="260" t="str">
        <f>W8*30%/W7</f>
      </c>
      <c r="X13" s="261" t="str">
        <f>X8*30%/X7</f>
      </c>
      <c r="Y13" s="262" t="str">
        <f>Y8*30/Y7</f>
      </c>
      <c r="Z13" s="263" t="str">
        <f>Z8*30/Z7</f>
      </c>
      <c r="AA13" s="231" t="str">
        <f>AA8*30%/AA7</f>
      </c>
      <c r="AB13" s="231" t="str">
        <f>AB8*30%/AB7</f>
      </c>
      <c r="AC13" s="231" t="str">
        <f>AC8*30%/AC7</f>
      </c>
      <c r="AD13" s="231" t="str">
        <f>AD8*30%/AD7</f>
      </c>
      <c r="AE13" s="235" t="str">
        <f>AE8*30%/AE7</f>
      </c>
      <c r="AF13" s="264" t="str">
        <f>AF8*30/AF7</f>
      </c>
      <c r="AG13" s="263" t="str">
        <f>AG8*30/AG7</f>
      </c>
      <c r="AH13" s="265" t="str">
        <f>AH8*30%/AH7</f>
      </c>
      <c r="AI13" s="266" t="str">
        <f>AI8*30%/AI7</f>
      </c>
      <c r="AJ13" s="266" t="str">
        <f>AJ8*30%/AJ7</f>
      </c>
      <c r="AK13" s="266" t="str">
        <f>AK8*30%/AK7</f>
      </c>
      <c r="AL13" s="267" t="str">
        <f>AL8*30%/AL7</f>
      </c>
      <c r="AM13" s="268" t="str">
        <f>AM8*30/AM7</f>
      </c>
      <c r="AN13" s="263" t="str">
        <f>AN8*30/AN7</f>
      </c>
      <c r="AO13" s="266" t="str">
        <f>AO8*30%/AO7</f>
      </c>
      <c r="AP13" s="246" t="str">
        <f>AP8*30%/AP7</f>
      </c>
      <c r="AQ13" s="246" t="str">
        <f>AQ8*30%/AQ7</f>
      </c>
      <c r="AR13" s="246" t="str">
        <f>AR8*30%/AR7</f>
      </c>
      <c r="AS13" s="246" t="str">
        <f>AS8*30%/AS7</f>
      </c>
      <c r="AT13" s="269" t="str">
        <f>AT8*30/AT7</f>
      </c>
      <c r="AU13" s="263" t="str">
        <f>AU8*30/AU7</f>
      </c>
      <c r="AV13" s="266" t="str">
        <f>AV8*30%/AV7</f>
      </c>
      <c r="AW13" s="246" t="str">
        <f>AW8*30%/AW7</f>
      </c>
      <c r="AX13" s="246" t="str">
        <f>AX8*30%/AX7</f>
      </c>
      <c r="AY13" s="246" t="str">
        <f>AY8*30%/AY7</f>
      </c>
      <c r="AZ13" s="246" t="str">
        <f>AZ8*30%/AZ7</f>
      </c>
      <c r="BA13" s="109" t="str">
        <f>AZ13+BD13</f>
      </c>
      <c r="BB13" s="269" t="str">
        <f>BB8*30/BB7</f>
      </c>
      <c r="BC13" s="270" t="str">
        <f>BC8*30/BC7</f>
      </c>
      <c r="BD13" s="246" t="str">
        <f>BD8*30%/BD7</f>
      </c>
      <c r="BE13" s="246" t="str">
        <f>BE8*30%/BE7</f>
      </c>
      <c r="BF13" s="246" t="str">
        <f>BF8*30%/BF7</f>
      </c>
      <c r="BG13" s="246" t="str">
        <f>BG8*30%/BG7</f>
      </c>
      <c r="BH13" s="246" t="str">
        <f>BH8*30%/BH7</f>
      </c>
      <c r="BI13" s="109" t="str">
        <f>BH13+BL13</f>
      </c>
      <c r="BJ13" s="269" t="str">
        <f>BJ8*30/BJ7</f>
      </c>
      <c r="BK13" s="270" t="str">
        <f>BK8*30/BK7</f>
      </c>
      <c r="BL13" s="243" t="str">
        <f>BL8*30%/BL7</f>
      </c>
      <c r="BM13" s="271" t="str">
        <f>BM8*30%/BM7</f>
      </c>
      <c r="BN13" s="271" t="str">
        <f>BN8*30%/BN7</f>
      </c>
      <c r="BO13" s="271" t="str">
        <f>BO8*30%/BO7</f>
      </c>
      <c r="BP13" s="271" t="str">
        <f>BP8*30%/BP7</f>
      </c>
      <c r="BQ13" s="269" t="str">
        <f>BQ8*30/BQ7</f>
      </c>
      <c r="BR13" s="270" t="str">
        <f>BR8*30/BR7</f>
      </c>
      <c r="BS13" s="243" t="str">
        <f>BS8*30%/BS7</f>
      </c>
      <c r="BT13" s="271" t="str">
        <f>BT8*30%/BT7</f>
      </c>
      <c r="BU13" s="271" t="str">
        <f>BU8*30%/BU7</f>
      </c>
      <c r="BV13" s="271" t="str">
        <f>BV8*30%/BV7</f>
      </c>
      <c r="BW13" s="271" t="str">
        <f>BW8*30%/BW7</f>
      </c>
      <c r="BX13" s="271" t="str">
        <f>BX8*30%/BX7</f>
      </c>
      <c r="BY13" s="269" t="str">
        <f>BY8*30/BY7</f>
      </c>
      <c r="BZ13" s="270" t="str">
        <f>BZ8*30/BZ7</f>
      </c>
      <c r="CA13" s="243" t="str">
        <f>CA8*30%/CA7</f>
      </c>
      <c r="CB13" s="271" t="str">
        <f>CB8*30%/CB7</f>
      </c>
      <c r="CC13" s="271" t="str">
        <f>CC8*30%/CC7</f>
      </c>
      <c r="CD13" s="271" t="str">
        <f>CD8*30%/CD7</f>
      </c>
      <c r="CE13" s="271" t="str">
        <f>CE8*30%/CE7</f>
      </c>
      <c r="CF13" s="269" t="str">
        <f>CF8*30/CF7</f>
      </c>
      <c r="CG13" s="270" t="str">
        <f>CG8*30/CG7</f>
      </c>
      <c r="CH13" s="243" t="str">
        <f>CH8*30%/CH7</f>
      </c>
      <c r="CI13" s="243" t="str">
        <f>CI8*30%/CI7</f>
      </c>
      <c r="CJ13" s="271" t="str">
        <f>CJ8*30%/CJ7</f>
      </c>
      <c r="CK13" s="271" t="str">
        <f>CK8*30%/CK7</f>
      </c>
      <c r="CL13" s="271" t="str">
        <f>CL8*30%/CL7</f>
      </c>
      <c r="CM13" s="271" t="str">
        <f>CM8*30%/CM7</f>
      </c>
      <c r="CN13" s="269" t="str">
        <f>CN8*30/CN7</f>
      </c>
      <c r="CO13" s="272" t="str">
        <f>CO8*30/CO7</f>
      </c>
      <c r="CP13" s="243" t="str">
        <f>CP8*30%/CP7</f>
      </c>
      <c r="CQ13" s="243" t="str">
        <f>CQ8*30%/CQ7</f>
      </c>
      <c r="CR13" s="243" t="str">
        <f>CR8*30%/CR7</f>
      </c>
      <c r="CS13" s="243" t="str">
        <f>CS8*30%/CS7</f>
      </c>
      <c r="CT13" s="243" t="str">
        <f>CT8*30%/CT7</f>
      </c>
      <c r="CU13" s="273" t="str">
        <f>CU8*30/CU7</f>
      </c>
      <c r="CV13" s="272" t="str">
        <f>CV8*30/CV7</f>
      </c>
      <c r="CW13" s="243" t="str">
        <f>CW8*30%/CW7</f>
      </c>
      <c r="CX13" s="243" t="str">
        <f>CX8*30%/CX7</f>
      </c>
      <c r="CY13" s="243" t="str">
        <f>CY8*30%/CY7</f>
      </c>
      <c r="CZ13" s="243" t="str">
        <f>CZ8*30%/CZ7</f>
      </c>
      <c r="DA13" s="243" t="str">
        <f>DA8*30%/DA7</f>
      </c>
      <c r="DB13" s="273" t="str">
        <f>DB8*30/DB7</f>
      </c>
      <c r="DC13" s="272" t="str">
        <f>DC8*30/DC7</f>
      </c>
      <c r="DD13" s="243" t="str">
        <f>DD8*30%/DD7</f>
      </c>
      <c r="DE13" s="243" t="str">
        <f>DE8*30%/DE7</f>
      </c>
      <c r="DF13" s="243" t="str">
        <f>DF8*30%/DF7</f>
      </c>
      <c r="DG13" s="243" t="str">
        <f>DG8*30%/DG7</f>
      </c>
      <c r="DH13" s="243" t="str">
        <f>DH8*30%/DH7</f>
      </c>
      <c r="DI13" s="243" t="str">
        <f>DI8*30%/DI7</f>
      </c>
      <c r="DJ13" s="273" t="str">
        <f>DJ8*30/DJ7</f>
      </c>
      <c r="DK13" s="274" t="str">
        <f>DK8*30/DK7</f>
      </c>
      <c r="DL13" s="271" t="str">
        <f>DL8*30%/DL7</f>
      </c>
      <c r="DM13" s="271" t="str">
        <f>DM8*30%/DM7</f>
      </c>
      <c r="DN13" s="271" t="str">
        <f>DN8*30%/DN7</f>
      </c>
      <c r="DO13" s="271" t="str">
        <f>DO8*30%/DO7</f>
      </c>
      <c r="DP13" s="243" t="str">
        <f>DP8*30%/DP7</f>
      </c>
      <c r="DQ13" s="269" t="str">
        <f>DQ8*30/DQ7</f>
      </c>
      <c r="DR13" s="274" t="str">
        <f>DR8*30/DR7</f>
      </c>
      <c r="DS13" s="271" t="str">
        <f>DS8*30%/DS7</f>
      </c>
      <c r="DT13" s="271" t="str">
        <f>DT8*30%/DT7</f>
      </c>
      <c r="DU13" s="271" t="str">
        <f>DU8*30%/DU7</f>
      </c>
      <c r="DV13" s="271" t="str">
        <f>DV8*30%/DV7</f>
      </c>
      <c r="DW13" s="243" t="str">
        <f>DW8*30%/DW7</f>
      </c>
      <c r="DX13" s="269" t="str">
        <f>DX8*30/DX7</f>
      </c>
      <c r="DY13" s="275" t="str">
        <f>DY8*30/DY7</f>
      </c>
      <c r="DZ13" s="271" t="str">
        <f>DZ8*30%/DZ7</f>
      </c>
      <c r="EA13" s="271" t="str">
        <f>EA8*30%/EA7</f>
      </c>
      <c r="EB13" s="271" t="str">
        <f>EB8*30%/EB7</f>
      </c>
      <c r="EC13" s="271" t="str">
        <f>EC8*30%/EC7</f>
      </c>
      <c r="ED13" s="243" t="str">
        <f>ED8*30%/ED7</f>
      </c>
      <c r="EE13" s="243" t="str">
        <f>EE8*30%/EE7</f>
      </c>
      <c r="EF13" s="269" t="str">
        <f>EF8*30/EF7</f>
      </c>
      <c r="EG13" s="275" t="str">
        <f>EG8*30/EG7</f>
      </c>
      <c r="EH13" s="271" t="str">
        <f>EH8*30%/EH7</f>
      </c>
      <c r="EI13" s="271" t="str">
        <f>EI8*30%/EI7</f>
      </c>
      <c r="EJ13" s="271" t="str">
        <f>EJ8*30%/EJ7</f>
      </c>
      <c r="EK13" s="271" t="str">
        <f>EK8*30%/EK7</f>
      </c>
      <c r="EL13" s="271" t="str">
        <f>EL8*30%/EL7</f>
      </c>
      <c r="EM13" s="269" t="str">
        <f>EM8*30/EM7</f>
      </c>
      <c r="EN13" s="275" t="str">
        <f>EN8*30/EN7</f>
      </c>
      <c r="EO13" s="271" t="str">
        <f>EO8*30%/EO7</f>
      </c>
      <c r="EP13" s="271" t="str">
        <f>EP8*30%/EP7</f>
      </c>
      <c r="EQ13" s="271" t="str">
        <f>EQ8*30%/EQ7</f>
      </c>
      <c r="ER13" s="271" t="str">
        <f>ER8*30%/ER7</f>
      </c>
      <c r="ES13" s="271" t="str">
        <f>ES8*30%/ES7</f>
      </c>
      <c r="ET13" s="269" t="str">
        <f>ET8*30/ET7</f>
      </c>
      <c r="EU13" s="275" t="str">
        <f>EU8*30/EU7</f>
      </c>
      <c r="EV13" s="276" t="str">
        <f>EV8*30%/EV7</f>
      </c>
      <c r="EW13" s="243" t="str">
        <f>EW8*30%/EW7</f>
      </c>
      <c r="EX13" s="243" t="str">
        <f>EX8*30%/EX7</f>
      </c>
      <c r="EY13" s="271" t="str">
        <f>EY8*30%/EY7</f>
      </c>
      <c r="EZ13" s="269" t="str">
        <f>EZ8*30/EZ7</f>
      </c>
      <c r="FA13" s="275" t="str">
        <f>FA8*30/FA7</f>
      </c>
      <c r="FB13" s="277" t="str">
        <f>FB8*40/FB7</f>
      </c>
      <c r="FC13" s="277" t="str">
        <f>FC8*40/FC7</f>
      </c>
      <c r="FD13" s="277" t="str">
        <f>FD8*40/FD7</f>
      </c>
      <c r="FE13" s="277" t="str">
        <f>FE8*40/FE7</f>
      </c>
      <c r="FF13" s="277" t="str">
        <f>FF8*40/FF7</f>
      </c>
      <c r="FG13" s="278" t="str">
        <f>FG8*30/FG7</f>
      </c>
      <c r="FH13" s="279" t="str">
        <f>FH8*30/FH7</f>
      </c>
      <c r="FI13" s="277" t="str">
        <f>FI8*40/FI7</f>
      </c>
      <c r="FJ13" s="277" t="str">
        <f>FJ8*40/FJ7</f>
      </c>
      <c r="FK13" s="277" t="str">
        <f>FK8*40/FK7</f>
      </c>
      <c r="FL13" s="277" t="str">
        <f>FL8*40/FL7</f>
      </c>
      <c r="FM13" s="278" t="str">
        <f>FM8*30/FM7</f>
      </c>
      <c r="FN13" s="279" t="str">
        <f>FN8*30/FN7</f>
      </c>
      <c r="FO13" s="277" t="str">
        <f>FO8*40/FO7</f>
      </c>
      <c r="FP13" s="277" t="str">
        <f>FP8*40/FP7</f>
      </c>
      <c r="FQ13" s="277" t="str">
        <f>FQ8*40/FQ7</f>
      </c>
      <c r="FR13" s="277" t="str">
        <f>FR8*40/FR7</f>
      </c>
      <c r="FS13" s="268" t="str">
        <f>FS8*30/FS7</f>
      </c>
      <c r="FT13" s="279" t="str">
        <f>FT8*30/FT7</f>
      </c>
      <c r="FU13" s="277" t="str">
        <f>FU8*40/FU7</f>
      </c>
      <c r="FV13" s="277" t="str">
        <f>FV8*40/FV7</f>
      </c>
      <c r="FW13" s="277" t="str">
        <f>FW8*40/FW7</f>
      </c>
      <c r="FX13" s="277" t="str">
        <f>FX8*40/FX7</f>
      </c>
      <c r="FY13" s="277" t="str">
        <f>FY8*40/FY7</f>
      </c>
      <c r="FZ13" s="278" t="str">
        <f>FZ8*30/FZ7</f>
      </c>
      <c r="GA13" s="279" t="str">
        <f>GA8*30/GA7</f>
      </c>
      <c r="GB13" s="277" t="str">
        <f>GB8*40/GB7</f>
      </c>
      <c r="GC13" s="277" t="str">
        <f>GC8*40/GC7</f>
      </c>
      <c r="GD13" s="277" t="str">
        <f>GD8*40/GD7</f>
      </c>
      <c r="GE13" s="277" t="str">
        <f>GE8*40/GE7</f>
      </c>
      <c r="GF13" s="280"/>
      <c r="GG13" s="280"/>
      <c r="GH13" s="280"/>
      <c r="GI13" s="280"/>
      <c r="GJ13" s="280"/>
      <c r="GK13" s="280"/>
      <c r="GL13" s="280"/>
      <c r="GM13" s="280"/>
      <c r="GN13" s="280"/>
      <c r="GO13" s="280"/>
      <c r="GP13" s="280"/>
      <c r="GQ13" s="280"/>
    </row>
    <row r="14" ht="15.75">
      <c r="A14" s="209" t="s">
        <v>159</v>
      </c>
      <c r="B14" s="130" t="n">
        <v>3353374.56</v>
      </c>
      <c r="C14" s="131" t="str">
        <f>SUM(D14:H14)</f>
      </c>
      <c r="D14" s="94" t="n">
        <v>785715.35</v>
      </c>
      <c r="E14" s="94" t="n">
        <v>781861.42</v>
      </c>
      <c r="F14" s="94" t="n">
        <v>920701.85</v>
      </c>
      <c r="G14" s="94" t="n">
        <v>805993.67</v>
      </c>
      <c r="H14" s="94" t="n">
        <v>142825.08</v>
      </c>
      <c r="I14" s="95" t="str">
        <f>H14+L14</f>
      </c>
      <c r="J14" s="130" t="n">
        <v>5606396.4</v>
      </c>
      <c r="K14" s="131" t="str">
        <f>SUM(L14:P14)</f>
      </c>
      <c r="L14" s="94" t="n">
        <v>506396.65</v>
      </c>
      <c r="M14" s="94" t="n">
        <v>996901.46</v>
      </c>
      <c r="N14" s="94" t="n">
        <v>1378382.6</v>
      </c>
      <c r="O14" s="94" t="n">
        <v>774577.63</v>
      </c>
      <c r="P14" s="94" t="n">
        <v>1058412.6</v>
      </c>
      <c r="Q14" s="130" t="n">
        <v>6256425</v>
      </c>
      <c r="R14" s="131" t="str">
        <f>SUM(S14:X14)</f>
      </c>
      <c r="S14" s="210" t="n">
        <v>373081.95</v>
      </c>
      <c r="T14" s="94" t="n">
        <v>901697.15</v>
      </c>
      <c r="U14" s="94" t="n">
        <v>1201278.91</v>
      </c>
      <c r="V14" s="94" t="n">
        <v>1087006.14</v>
      </c>
      <c r="W14" s="94" t="n">
        <v>722356.35</v>
      </c>
      <c r="X14" s="211" t="n">
        <v>30653.13</v>
      </c>
      <c r="Y14" s="281" t="n">
        <v>5038357.99</v>
      </c>
      <c r="Z14" s="138" t="str">
        <f>SUM(AA14:AE14)</f>
      </c>
      <c r="AA14" s="282" t="n">
        <v>2498337</v>
      </c>
      <c r="AB14" s="220" t="n">
        <v>1280844.18</v>
      </c>
      <c r="AC14" s="220" t="n">
        <v>1145152.3</v>
      </c>
      <c r="AD14" s="220" t="n">
        <v>940667.37</v>
      </c>
      <c r="AE14" s="283" t="n">
        <v>71401.7</v>
      </c>
      <c r="AF14" s="284" t="n">
        <v>5142673</v>
      </c>
      <c r="AG14" s="285" t="str">
        <f>SUM(AH14:AL14)</f>
      </c>
      <c r="AH14" s="144" t="n">
        <v>787640.93</v>
      </c>
      <c r="AI14" s="145" t="n">
        <v>869100.29</v>
      </c>
      <c r="AJ14" s="145" t="n">
        <v>594389.13</v>
      </c>
      <c r="AK14" s="145" t="n">
        <v>285419.14</v>
      </c>
      <c r="AL14" s="146" t="n">
        <v>47283.4</v>
      </c>
      <c r="AM14" s="281" t="n">
        <v>3500000</v>
      </c>
      <c r="AN14" s="138" t="str">
        <f>SUM(AO14:AS14)</f>
      </c>
      <c r="AO14" s="147" t="n">
        <v>230186.3</v>
      </c>
      <c r="AP14" s="148" t="n">
        <v>290572.34</v>
      </c>
      <c r="AQ14" s="149" t="n">
        <v>514122.68</v>
      </c>
      <c r="AR14" s="148" t="n">
        <v>632187.66</v>
      </c>
      <c r="AS14" s="159" t="n">
        <v>512765.48</v>
      </c>
      <c r="AT14" s="160" t="n">
        <v>3500000</v>
      </c>
      <c r="AU14" s="138" t="str">
        <f>SUM(AV14:AZ14)</f>
      </c>
      <c r="AV14" s="147" t="n">
        <v>601054.8</v>
      </c>
      <c r="AW14" s="148" t="n">
        <v>694209.52</v>
      </c>
      <c r="AX14" s="148" t="n">
        <v>871875.84</v>
      </c>
      <c r="AY14" s="148" t="n">
        <v>1240335.65</v>
      </c>
      <c r="AZ14" s="159" t="n">
        <v>65998.5</v>
      </c>
      <c r="BA14" s="148" t="str">
        <f>AZ14+BD14</f>
      </c>
      <c r="BB14" s="160" t="n">
        <v>3500000</v>
      </c>
      <c r="BC14" s="152" t="str">
        <f>SUM(BD14:BH14)</f>
      </c>
      <c r="BD14" s="153" t="n">
        <v>554287.58</v>
      </c>
      <c r="BE14" s="148" t="n">
        <v>786928.9</v>
      </c>
      <c r="BF14" s="148" t="n">
        <v>315118.88</v>
      </c>
      <c r="BG14" s="148" t="n">
        <v>685427.38</v>
      </c>
      <c r="BH14" s="159" t="n">
        <v>314458.55</v>
      </c>
      <c r="BI14" s="148" t="str">
        <f>BH14+BL14</f>
      </c>
      <c r="BJ14" s="160" t="n">
        <v>3000000</v>
      </c>
      <c r="BK14" s="152" t="str">
        <f>SUM(BL14:BP14)</f>
      </c>
      <c r="BL14" s="153" t="n">
        <v>466944.48</v>
      </c>
      <c r="BM14" s="148" t="n">
        <v>500495.63</v>
      </c>
      <c r="BN14" s="148" t="n">
        <v>1070813.88</v>
      </c>
      <c r="BO14" s="148" t="n">
        <v>611564.67</v>
      </c>
      <c r="BP14" s="159" t="n">
        <v>853075.17</v>
      </c>
      <c r="BQ14" s="160" t="n">
        <v>3000000</v>
      </c>
      <c r="BR14" s="152" t="str">
        <f>SUM(BS14:BW14)</f>
      </c>
      <c r="BS14" s="153" t="n">
        <v>562161.6</v>
      </c>
      <c r="BT14" s="148" t="n">
        <v>471369.53</v>
      </c>
      <c r="BU14" s="148" t="n">
        <v>550082.71</v>
      </c>
      <c r="BV14" s="148" t="n">
        <v>498160.16</v>
      </c>
      <c r="BW14" s="159" t="n">
        <v>328957.72</v>
      </c>
      <c r="BX14" s="148" t="str">
        <f>BW14+CA14</f>
      </c>
      <c r="BY14" s="160" t="n">
        <v>3200000</v>
      </c>
      <c r="BZ14" s="152" t="str">
        <f>SUM(CA14:CE14)</f>
      </c>
      <c r="CA14" s="153" t="n">
        <v>643697.9</v>
      </c>
      <c r="CB14" s="148" t="n">
        <v>620337.56</v>
      </c>
      <c r="CC14" s="148" t="n">
        <v>529282.55</v>
      </c>
      <c r="CD14" s="148" t="n">
        <v>445222.05</v>
      </c>
      <c r="CE14" s="159" t="n">
        <v>604734.97</v>
      </c>
      <c r="CF14" s="160" t="n">
        <v>3000000</v>
      </c>
      <c r="CG14" s="152" t="str">
        <f>SUM(CH14:CM14)</f>
      </c>
      <c r="CH14" s="155" t="n">
        <v>169086.65</v>
      </c>
      <c r="CI14" s="155" t="n">
        <v>997245.44</v>
      </c>
      <c r="CJ14" s="148" t="n">
        <v>656385.01</v>
      </c>
      <c r="CK14" s="148" t="n">
        <v>763192.6</v>
      </c>
      <c r="CL14" s="148" t="n">
        <v>682176.15</v>
      </c>
      <c r="CM14" s="159" t="n">
        <v>13117.5</v>
      </c>
      <c r="CN14" s="160" t="n">
        <v>3250000</v>
      </c>
      <c r="CO14" s="286" t="str">
        <f>SUM(CP14:CT14)</f>
      </c>
      <c r="CP14" s="166" t="n">
        <v>737629.88</v>
      </c>
      <c r="CQ14" s="159" t="n">
        <v>735940.54</v>
      </c>
      <c r="CR14" s="159" t="n">
        <v>673501.46</v>
      </c>
      <c r="CS14" s="159" t="n">
        <v>1540790.94</v>
      </c>
      <c r="CT14" s="159" t="n">
        <v>290945.4</v>
      </c>
      <c r="CU14" s="286" t="n">
        <v>3600000</v>
      </c>
      <c r="CV14" s="286" t="str">
        <f>SUM(CW14:DA14)</f>
      </c>
      <c r="CW14" s="166" t="n">
        <v>716854.8</v>
      </c>
      <c r="CX14" s="166" t="n">
        <v>1314688.14</v>
      </c>
      <c r="CY14" s="159" t="n">
        <v>1183923.63</v>
      </c>
      <c r="CZ14" s="159" t="n">
        <v>1037860.8</v>
      </c>
      <c r="DA14" s="159" t="n">
        <v>843397.03</v>
      </c>
      <c r="DB14" s="286" t="n">
        <v>5505000</v>
      </c>
      <c r="DC14" s="286" t="str">
        <f>SUM(DD14:DI14)</f>
      </c>
      <c r="DD14" s="166" t="n">
        <v>357153.65</v>
      </c>
      <c r="DE14" s="166" t="n">
        <v>1135179.08</v>
      </c>
      <c r="DF14" s="166" t="n">
        <v>1881555.12</v>
      </c>
      <c r="DG14" s="159" t="n">
        <v>1185852.38</v>
      </c>
      <c r="DH14" s="159" t="n">
        <v>1006420.05</v>
      </c>
      <c r="DI14" s="159" t="n">
        <v>392340.05</v>
      </c>
      <c r="DJ14" s="286" t="n">
        <v>6000000</v>
      </c>
      <c r="DK14" s="156" t="str">
        <f>SUM(DL14:DP14)</f>
      </c>
      <c r="DL14" s="157" t="n">
        <v>1329433.62</v>
      </c>
      <c r="DM14" s="157" t="n">
        <v>954330.45</v>
      </c>
      <c r="DN14" s="148" t="n">
        <v>981065.86</v>
      </c>
      <c r="DO14" s="148" t="n">
        <v>1385362.97</v>
      </c>
      <c r="DP14" s="159" t="n">
        <v>82845.41</v>
      </c>
      <c r="DQ14" s="160" t="n">
        <v>2700000</v>
      </c>
      <c r="DR14" s="156" t="str">
        <f>SUM(DS14:DW14)</f>
      </c>
      <c r="DS14" s="157" t="n">
        <v>980484.35</v>
      </c>
      <c r="DT14" s="157" t="n">
        <v>1367334.74</v>
      </c>
      <c r="DU14" s="148" t="n">
        <v>1633275.44</v>
      </c>
      <c r="DV14" s="148" t="n">
        <v>729646.65</v>
      </c>
      <c r="DW14" s="159" t="n">
        <v>187043.25</v>
      </c>
      <c r="DX14" s="160" t="n">
        <v>3000000</v>
      </c>
      <c r="DY14" s="156" t="str">
        <f>SUM(DZ14:EE14)</f>
      </c>
      <c r="DZ14" s="157" t="n">
        <v>61808.18</v>
      </c>
      <c r="EA14" s="157" t="n">
        <v>251601.28</v>
      </c>
      <c r="EB14" s="148" t="n">
        <v>561492.76</v>
      </c>
      <c r="EC14" s="148" t="n">
        <v>444882.68</v>
      </c>
      <c r="ED14" s="159" t="n">
        <v>732143.22</v>
      </c>
      <c r="EE14" s="159" t="n">
        <v>123868.8</v>
      </c>
      <c r="EF14" s="161" t="str">
        <f>EF15*EF10</f>
      </c>
      <c r="EG14" s="156" t="str">
        <f>SUM(EH14:EL14)</f>
      </c>
      <c r="EH14" s="157" t="n">
        <v>508049.56</v>
      </c>
      <c r="EI14" s="157" t="n">
        <v>1162449.47</v>
      </c>
      <c r="EJ14" s="148" t="n">
        <v>945030.07</v>
      </c>
      <c r="EK14" s="148" t="n">
        <v>914840.3</v>
      </c>
      <c r="EL14" s="164" t="n">
        <v>69694.05</v>
      </c>
      <c r="EM14" s="161" t="str">
        <f>EM15*EM10</f>
      </c>
      <c r="EN14" s="156" t="n">
        <v>2957831</v>
      </c>
      <c r="EO14" s="157" t="n">
        <v>555242.87</v>
      </c>
      <c r="EP14" s="157" t="n">
        <v>725562.97</v>
      </c>
      <c r="EQ14" s="148" t="n">
        <v>769369.42</v>
      </c>
      <c r="ER14" s="148" t="n">
        <v>471160.23</v>
      </c>
      <c r="ES14" s="164" t="n">
        <v>598541.85</v>
      </c>
      <c r="ET14" s="161" t="str">
        <f>ET15*ET10</f>
      </c>
      <c r="EU14" s="156" t="str">
        <f>SUM(EV14:EY14)</f>
      </c>
      <c r="EV14" s="165" t="n">
        <v>669055.2</v>
      </c>
      <c r="EW14" s="166" t="n">
        <v>487492.8</v>
      </c>
      <c r="EX14" s="167" t="n">
        <v>221515.2</v>
      </c>
      <c r="EY14" s="168" t="n">
        <v>628668</v>
      </c>
      <c r="EZ14" s="161" t="str">
        <f>EZ15*EZ10</f>
      </c>
      <c r="FA14" s="287" t="str">
        <f>SUM(FB14:FF14)</f>
      </c>
      <c r="FB14" s="157" t="n">
        <v>135254.38</v>
      </c>
      <c r="FC14" s="157" t="n">
        <v>431728.92</v>
      </c>
      <c r="FD14" s="148" t="n">
        <v>386026.92</v>
      </c>
      <c r="FE14" s="148" t="n">
        <v>874700.16</v>
      </c>
      <c r="FF14" s="148" t="n">
        <v>380424</v>
      </c>
      <c r="FG14" s="169" t="str">
        <f>FG15*FG10</f>
      </c>
      <c r="FH14" s="138" t="str">
        <f>SUM(FI14:FL14)</f>
      </c>
      <c r="FI14" s="157" t="n">
        <v>787919.36</v>
      </c>
      <c r="FJ14" s="157" t="n">
        <v>420487.24</v>
      </c>
      <c r="FK14" s="148" t="n">
        <v>788757.44</v>
      </c>
      <c r="FL14" s="148" t="n">
        <v>909766.88</v>
      </c>
      <c r="FM14" s="169" t="str">
        <f>FM15*FM10</f>
      </c>
      <c r="FN14" s="138" t="str">
        <f>SUM(FO14:FR14)</f>
      </c>
      <c r="FO14" s="157" t="n">
        <v>1038398.09</v>
      </c>
      <c r="FP14" s="157" t="n">
        <v>899696.34</v>
      </c>
      <c r="FQ14" s="148" t="n">
        <v>786278.6</v>
      </c>
      <c r="FR14" s="148" t="n">
        <v>876220.4</v>
      </c>
      <c r="FS14" s="171" t="str">
        <f>FS15*FS10</f>
      </c>
      <c r="FT14" s="138" t="str">
        <f>SUM(FU14:FY14)</f>
      </c>
      <c r="FU14" s="157" t="n">
        <v>599372.41</v>
      </c>
      <c r="FV14" s="157" t="n">
        <v>935305.63</v>
      </c>
      <c r="FW14" s="148" t="n">
        <v>1161450.92</v>
      </c>
      <c r="FX14" s="148" t="n">
        <v>804625.26</v>
      </c>
      <c r="FY14" s="148" t="n">
        <v>759953.77</v>
      </c>
      <c r="FZ14" s="169" t="str">
        <f>FZ15*FZ10</f>
      </c>
      <c r="GA14" s="138" t="str">
        <f>SUM(GB14:GE14)</f>
      </c>
      <c r="GB14" s="157" t="n">
        <v>901410.86</v>
      </c>
      <c r="GC14" s="157" t="n">
        <v>1394245.51</v>
      </c>
      <c r="GD14" s="148" t="n">
        <v>1645698.81</v>
      </c>
      <c r="GE14" s="148" t="n">
        <v>900357.36</v>
      </c>
      <c r="GF14" s="172"/>
      <c r="GG14" s="172"/>
      <c r="GH14" s="172"/>
      <c r="GI14" s="172"/>
      <c r="GJ14" s="172"/>
      <c r="GK14" s="172"/>
      <c r="GL14" s="172"/>
      <c r="GM14" s="172"/>
      <c r="GN14" s="172"/>
      <c r="GO14" s="172"/>
      <c r="GP14" s="172"/>
      <c r="GQ14" s="172"/>
    </row>
    <row r="15" ht="15.75">
      <c r="A15" s="173" t="s">
        <v>160</v>
      </c>
      <c r="B15" s="174" t="n">
        <v>193</v>
      </c>
      <c r="C15" s="175" t="str">
        <f>SUM(D15:H15)</f>
      </c>
      <c r="D15" s="176" t="n">
        <v>56</v>
      </c>
      <c r="E15" s="176" t="n">
        <v>44</v>
      </c>
      <c r="F15" s="176" t="n">
        <v>48</v>
      </c>
      <c r="G15" s="176" t="n">
        <v>34</v>
      </c>
      <c r="H15" s="176" t="n">
        <v>11</v>
      </c>
      <c r="I15" s="177" t="str">
        <f>H15+L15</f>
      </c>
      <c r="J15" s="174" t="n">
        <v>344</v>
      </c>
      <c r="K15" s="175" t="str">
        <f>SUM(L15:P15)</f>
      </c>
      <c r="L15" s="176" t="n">
        <v>27</v>
      </c>
      <c r="M15" s="176" t="n">
        <v>69</v>
      </c>
      <c r="N15" s="176" t="n">
        <v>64</v>
      </c>
      <c r="O15" s="176" t="n">
        <v>39</v>
      </c>
      <c r="P15" s="176" t="n">
        <v>33</v>
      </c>
      <c r="Q15" s="174" t="n">
        <v>272</v>
      </c>
      <c r="R15" s="175" t="str">
        <f>SUM(S15:X15)</f>
      </c>
      <c r="S15" s="178" t="n">
        <v>13</v>
      </c>
      <c r="T15" s="176" t="n">
        <v>60</v>
      </c>
      <c r="U15" s="176" t="n">
        <v>61</v>
      </c>
      <c r="V15" s="176" t="n">
        <v>66</v>
      </c>
      <c r="W15" s="176" t="n">
        <v>44</v>
      </c>
      <c r="X15" s="179" t="n">
        <v>4</v>
      </c>
      <c r="Y15" s="288" t="n">
        <v>225</v>
      </c>
      <c r="Z15" s="181" t="str">
        <f>SUM(AA15:AE15)</f>
      </c>
      <c r="AA15" s="182" t="n">
        <v>46</v>
      </c>
      <c r="AB15" s="183" t="n">
        <v>63</v>
      </c>
      <c r="AC15" s="183" t="n">
        <v>60</v>
      </c>
      <c r="AD15" s="183" t="n">
        <v>71</v>
      </c>
      <c r="AE15" s="184" t="n">
        <v>4</v>
      </c>
      <c r="AF15" s="185" t="n">
        <v>200</v>
      </c>
      <c r="AG15" s="186" t="str">
        <f>SUM(AH15:AL15)</f>
      </c>
      <c r="AH15" s="187" t="n">
        <v>60</v>
      </c>
      <c r="AI15" s="188" t="n">
        <v>61</v>
      </c>
      <c r="AJ15" s="188" t="n">
        <v>48</v>
      </c>
      <c r="AK15" s="188" t="n">
        <v>14</v>
      </c>
      <c r="AL15" s="189" t="n">
        <v>2</v>
      </c>
      <c r="AM15" s="190" t="n">
        <v>200</v>
      </c>
      <c r="AN15" s="108" t="str">
        <f>SUM(AO15:AS15)</f>
      </c>
      <c r="AO15" s="191" t="n">
        <v>5</v>
      </c>
      <c r="AP15" s="289" t="n">
        <v>25</v>
      </c>
      <c r="AQ15" s="289" t="n">
        <v>35</v>
      </c>
      <c r="AR15" s="289" t="n">
        <v>26</v>
      </c>
      <c r="AS15" s="290" t="n">
        <v>26</v>
      </c>
      <c r="AT15" s="194" t="n">
        <v>200</v>
      </c>
      <c r="AU15" s="108" t="str">
        <f>SUM(AV15:AZ15)</f>
      </c>
      <c r="AV15" s="191" t="n">
        <v>38</v>
      </c>
      <c r="AW15" s="289" t="n">
        <v>35</v>
      </c>
      <c r="AX15" s="289" t="n">
        <v>43</v>
      </c>
      <c r="AY15" s="289" t="n">
        <v>33</v>
      </c>
      <c r="AZ15" s="290" t="n">
        <v>3</v>
      </c>
      <c r="BA15" s="109" t="str">
        <f>AZ15+BD15</f>
      </c>
      <c r="BB15" s="194" t="n">
        <v>200</v>
      </c>
      <c r="BC15" s="195" t="str">
        <f>SUM(BD15:BH15)</f>
      </c>
      <c r="BD15" s="196" t="n">
        <v>25</v>
      </c>
      <c r="BE15" s="289" t="n">
        <v>35</v>
      </c>
      <c r="BF15" s="289" t="n">
        <v>34</v>
      </c>
      <c r="BG15" s="289" t="n">
        <v>39</v>
      </c>
      <c r="BH15" s="290" t="n">
        <v>23</v>
      </c>
      <c r="BI15" s="109" t="str">
        <f>BH15+BL15</f>
      </c>
      <c r="BJ15" s="194" t="n">
        <v>200</v>
      </c>
      <c r="BK15" s="195" t="str">
        <f>SUM(BL15:BP15)</f>
      </c>
      <c r="BL15" s="196" t="n">
        <v>13</v>
      </c>
      <c r="BM15" s="289" t="n">
        <v>39</v>
      </c>
      <c r="BN15" s="289" t="n">
        <v>46</v>
      </c>
      <c r="BO15" s="289" t="n">
        <v>48</v>
      </c>
      <c r="BP15" s="290" t="n">
        <v>46</v>
      </c>
      <c r="BQ15" s="194" t="n">
        <v>200</v>
      </c>
      <c r="BR15" s="195" t="str">
        <f>SUM(BS15:BW15)</f>
      </c>
      <c r="BS15" s="196" t="n">
        <v>34</v>
      </c>
      <c r="BT15" s="289" t="n">
        <v>42</v>
      </c>
      <c r="BU15" s="289" t="n">
        <v>41</v>
      </c>
      <c r="BV15" s="289" t="n">
        <v>31</v>
      </c>
      <c r="BW15" s="290" t="n">
        <v>16</v>
      </c>
      <c r="BX15" s="109" t="str">
        <f>BW15+CA15</f>
      </c>
      <c r="BY15" s="194" t="n">
        <v>250</v>
      </c>
      <c r="BZ15" s="195" t="str">
        <f>SUM(CA15:CE15)</f>
      </c>
      <c r="CA15" s="196" t="n">
        <v>20</v>
      </c>
      <c r="CB15" s="289" t="n">
        <v>62</v>
      </c>
      <c r="CC15" s="289" t="n">
        <v>50</v>
      </c>
      <c r="CD15" s="289" t="n">
        <v>36</v>
      </c>
      <c r="CE15" s="290" t="n">
        <v>42</v>
      </c>
      <c r="CF15" s="194" t="n">
        <v>250</v>
      </c>
      <c r="CG15" s="195" t="str">
        <f>SUM(CH15:CM15)</f>
      </c>
      <c r="CH15" s="197" t="n">
        <v>10</v>
      </c>
      <c r="CI15" s="197" t="n">
        <v>70</v>
      </c>
      <c r="CJ15" s="289" t="n">
        <v>49</v>
      </c>
      <c r="CK15" s="289" t="n">
        <v>40</v>
      </c>
      <c r="CL15" s="289" t="n">
        <v>44</v>
      </c>
      <c r="CM15" s="290" t="n">
        <v>3</v>
      </c>
      <c r="CN15" s="194" t="n">
        <v>250</v>
      </c>
      <c r="CO15" s="227" t="str">
        <f>SUM(CP15:CT15)</f>
      </c>
      <c r="CP15" s="193" t="n">
        <v>44</v>
      </c>
      <c r="CQ15" s="290" t="n">
        <v>51</v>
      </c>
      <c r="CR15" s="290" t="n">
        <v>49</v>
      </c>
      <c r="CS15" s="290" t="n">
        <v>50</v>
      </c>
      <c r="CT15" s="290" t="n">
        <v>36</v>
      </c>
      <c r="CU15" s="291" t="n">
        <v>250</v>
      </c>
      <c r="CV15" s="227" t="str">
        <f>SUM(CW15:DA15)</f>
      </c>
      <c r="CW15" s="193" t="n">
        <v>26</v>
      </c>
      <c r="CX15" s="193" t="n">
        <v>78</v>
      </c>
      <c r="CY15" s="290" t="n">
        <v>78</v>
      </c>
      <c r="CZ15" s="290" t="n">
        <v>66</v>
      </c>
      <c r="DA15" s="290" t="n">
        <v>65</v>
      </c>
      <c r="DB15" s="291" t="n">
        <v>250</v>
      </c>
      <c r="DC15" s="227" t="str">
        <f>SUM(DD15:DI15)</f>
      </c>
      <c r="DD15" s="292" t="n">
        <v>5</v>
      </c>
      <c r="DE15" s="292" t="n">
        <v>69</v>
      </c>
      <c r="DF15" s="193" t="n">
        <v>70</v>
      </c>
      <c r="DG15" s="290" t="n">
        <v>50</v>
      </c>
      <c r="DH15" s="290" t="n">
        <v>54</v>
      </c>
      <c r="DI15" s="290" t="n">
        <v>11</v>
      </c>
      <c r="DJ15" s="291" t="n">
        <v>250</v>
      </c>
      <c r="DK15" s="293" t="str">
        <f>SUM(DL15:DP15)</f>
      </c>
      <c r="DL15" s="198" t="n">
        <v>62</v>
      </c>
      <c r="DM15" s="192" t="n">
        <v>63</v>
      </c>
      <c r="DN15" s="289" t="n">
        <v>53</v>
      </c>
      <c r="DO15" s="289" t="n">
        <v>72</v>
      </c>
      <c r="DP15" s="290" t="n">
        <v>9</v>
      </c>
      <c r="DQ15" s="194" t="n">
        <v>200</v>
      </c>
      <c r="DR15" s="293" t="str">
        <f>SUM(DS15:DW15)</f>
      </c>
      <c r="DS15" s="198" t="n">
        <v>42</v>
      </c>
      <c r="DT15" s="192" t="n">
        <v>72</v>
      </c>
      <c r="DU15" s="289" t="n">
        <v>45</v>
      </c>
      <c r="DV15" s="289" t="n">
        <v>25</v>
      </c>
      <c r="DW15" s="290" t="n">
        <v>6</v>
      </c>
      <c r="DX15" s="194" t="n">
        <v>200</v>
      </c>
      <c r="DY15" s="293" t="str">
        <f>SUM(DZ15:EE15)</f>
      </c>
      <c r="DZ15" s="198" t="n">
        <v>3</v>
      </c>
      <c r="EA15" s="192" t="n">
        <v>25</v>
      </c>
      <c r="EB15" s="289" t="n">
        <v>28</v>
      </c>
      <c r="EC15" s="289" t="n">
        <v>38</v>
      </c>
      <c r="ED15" s="290" t="n">
        <v>32</v>
      </c>
      <c r="EE15" s="290" t="n">
        <v>3</v>
      </c>
      <c r="EF15" s="294" t="n">
        <v>200</v>
      </c>
      <c r="EG15" s="293" t="str">
        <f>SUM(EH15:EL15)</f>
      </c>
      <c r="EH15" s="295" t="n">
        <v>34</v>
      </c>
      <c r="EI15" s="295" t="n">
        <v>42</v>
      </c>
      <c r="EJ15" s="277" t="n">
        <v>40</v>
      </c>
      <c r="EK15" s="277" t="n">
        <v>49</v>
      </c>
      <c r="EL15" s="296" t="n">
        <v>7</v>
      </c>
      <c r="EM15" s="294" t="n">
        <v>200</v>
      </c>
      <c r="EN15" s="293" t="n">
        <v>181</v>
      </c>
      <c r="EO15" s="295" t="n">
        <v>34</v>
      </c>
      <c r="EP15" s="295" t="n">
        <v>38</v>
      </c>
      <c r="EQ15" s="277" t="n">
        <v>48</v>
      </c>
      <c r="ER15" s="277" t="n">
        <v>35</v>
      </c>
      <c r="ES15" s="296" t="n">
        <v>33</v>
      </c>
      <c r="ET15" s="294" t="n">
        <v>200</v>
      </c>
      <c r="EU15" s="293" t="str">
        <f>SUM(EV15:EY15)</f>
      </c>
      <c r="EV15" s="297" t="n">
        <v>45</v>
      </c>
      <c r="EW15" s="204" t="n">
        <v>32</v>
      </c>
      <c r="EX15" s="298" t="n">
        <v>15</v>
      </c>
      <c r="EY15" s="299" t="n">
        <v>20</v>
      </c>
      <c r="EZ15" s="294" t="n">
        <v>200</v>
      </c>
      <c r="FA15" s="293" t="str">
        <f>SUM(FB15:FF15)</f>
      </c>
      <c r="FB15" s="295" t="n">
        <v>15</v>
      </c>
      <c r="FC15" s="295" t="n">
        <v>19</v>
      </c>
      <c r="FD15" s="277" t="n">
        <v>24</v>
      </c>
      <c r="FE15" s="277" t="n">
        <v>33</v>
      </c>
      <c r="FF15" s="277" t="n">
        <v>33</v>
      </c>
      <c r="FG15" s="300" t="n">
        <v>310</v>
      </c>
      <c r="FH15" s="207" t="str">
        <f>SUM(FI15:FL15)</f>
      </c>
      <c r="FI15" s="295" t="n">
        <v>40</v>
      </c>
      <c r="FJ15" s="295" t="n">
        <v>29</v>
      </c>
      <c r="FK15" s="277" t="n">
        <v>54</v>
      </c>
      <c r="FL15" s="277" t="n">
        <v>59</v>
      </c>
      <c r="FM15" s="300" t="n">
        <v>310</v>
      </c>
      <c r="FN15" s="207" t="str">
        <f>SUM(FO15:FR15)</f>
      </c>
      <c r="FO15" s="295" t="n">
        <v>37</v>
      </c>
      <c r="FP15" s="295" t="n">
        <v>37</v>
      </c>
      <c r="FQ15" s="277" t="n">
        <v>21</v>
      </c>
      <c r="FR15" s="277" t="n">
        <v>52</v>
      </c>
      <c r="FS15" s="301" t="n">
        <v>310</v>
      </c>
      <c r="FT15" s="207" t="str">
        <f>SUM(FU15:FX15)</f>
      </c>
      <c r="FU15" s="295" t="n">
        <v>37</v>
      </c>
      <c r="FV15" s="295" t="n">
        <v>47</v>
      </c>
      <c r="FW15" s="277" t="n">
        <v>59</v>
      </c>
      <c r="FX15" s="277" t="n">
        <v>48</v>
      </c>
      <c r="FY15" s="277" t="n">
        <v>27</v>
      </c>
      <c r="FZ15" s="300" t="n">
        <v>270</v>
      </c>
      <c r="GA15" s="207" t="str">
        <f>SUM(GB15:GE15)</f>
      </c>
      <c r="GB15" s="295" t="n">
        <v>44</v>
      </c>
      <c r="GC15" s="295" t="n">
        <v>77</v>
      </c>
      <c r="GD15" s="277" t="n">
        <v>65</v>
      </c>
      <c r="GE15" s="277" t="n">
        <v>63</v>
      </c>
      <c r="GF15" s="280"/>
      <c r="GG15" s="280"/>
      <c r="GH15" s="280"/>
      <c r="GI15" s="280"/>
      <c r="GJ15" s="280"/>
      <c r="GK15" s="280"/>
      <c r="GL15" s="280"/>
      <c r="GM15" s="280"/>
      <c r="GN15" s="280"/>
      <c r="GO15" s="280"/>
      <c r="GP15" s="280"/>
      <c r="GQ15" s="280"/>
    </row>
    <row r="16" ht="15.75">
      <c r="A16" s="209" t="s">
        <v>161</v>
      </c>
      <c r="B16" s="302" t="str">
        <f>B14/B15</f>
      </c>
      <c r="C16" s="303" t="str">
        <f>C14/C15</f>
      </c>
      <c r="D16" s="304" t="str">
        <f>D14/D15</f>
      </c>
      <c r="E16" s="304" t="str">
        <f>E14/E15</f>
      </c>
      <c r="F16" s="304" t="str">
        <f>F14/F15</f>
      </c>
      <c r="G16" s="304" t="str">
        <f>G14/G15</f>
      </c>
      <c r="H16" s="304" t="str">
        <f>H14/H15</f>
      </c>
      <c r="I16" s="305" t="str">
        <f>I14/I15</f>
      </c>
      <c r="J16" s="302" t="str">
        <f>J14/J15</f>
      </c>
      <c r="K16" s="303" t="str">
        <f>K14/K15</f>
      </c>
      <c r="L16" s="304" t="str">
        <f>L14/L15</f>
      </c>
      <c r="M16" s="304" t="str">
        <f>M14/M15</f>
      </c>
      <c r="N16" s="304" t="str">
        <f>N14/N15</f>
      </c>
      <c r="O16" s="304" t="str">
        <f>O14/O15</f>
      </c>
      <c r="P16" s="304" t="str">
        <f>P14/P15</f>
      </c>
      <c r="Q16" s="302" t="str">
        <f>Q14/Q15</f>
      </c>
      <c r="R16" s="303" t="str">
        <f>R14/R15</f>
      </c>
      <c r="S16" s="306" t="str">
        <f>S14/S15</f>
      </c>
      <c r="T16" s="304" t="str">
        <f>T14/T15</f>
      </c>
      <c r="U16" s="304" t="str">
        <f>U14/U15</f>
      </c>
      <c r="V16" s="304" t="str">
        <f>V14/V15</f>
      </c>
      <c r="W16" s="304" t="str">
        <f>W14/W15</f>
      </c>
      <c r="X16" s="307" t="str">
        <f>X14/X15</f>
      </c>
      <c r="Y16" s="308" t="str">
        <f>Y14/Y15</f>
      </c>
      <c r="Z16" s="309" t="str">
        <f>Z14/Z15</f>
      </c>
      <c r="AA16" s="304" t="str">
        <f>AA14/AA15</f>
      </c>
      <c r="AB16" s="304" t="str">
        <f>AB14/AB15</f>
      </c>
      <c r="AC16" s="304" t="str">
        <f>AC14/AC15</f>
      </c>
      <c r="AD16" s="304" t="str">
        <f>AD14/AD15</f>
      </c>
      <c r="AE16" s="305" t="str">
        <f>AE14/AE15</f>
      </c>
      <c r="AF16" s="310" t="str">
        <f>AF14/AF15</f>
      </c>
      <c r="AG16" s="309" t="str">
        <f>AG14/AG15</f>
      </c>
      <c r="AH16" s="311" t="str">
        <f>AH14/AH15</f>
      </c>
      <c r="AI16" s="312" t="str">
        <f>AI14/AI15</f>
      </c>
      <c r="AJ16" s="312" t="str">
        <f>AJ14/AJ15</f>
      </c>
      <c r="AK16" s="312" t="str">
        <f>AK14/AK15</f>
      </c>
      <c r="AL16" s="313" t="str">
        <f>AL14/AL15</f>
      </c>
      <c r="AM16" s="190"/>
      <c r="AN16" s="108"/>
      <c r="AO16" s="191"/>
      <c r="AP16" s="289"/>
      <c r="AQ16" s="289"/>
      <c r="AR16" s="289"/>
      <c r="AS16" s="290"/>
      <c r="AT16" s="194"/>
      <c r="AU16" s="108"/>
      <c r="AV16" s="191"/>
      <c r="AW16" s="289"/>
      <c r="AX16" s="289"/>
      <c r="AY16" s="289"/>
      <c r="AZ16" s="290"/>
      <c r="BA16" s="109"/>
      <c r="BB16" s="194"/>
      <c r="BC16" s="195"/>
      <c r="BD16" s="196"/>
      <c r="BE16" s="289"/>
      <c r="BF16" s="289"/>
      <c r="BG16" s="289"/>
      <c r="BH16" s="290"/>
      <c r="BI16" s="109"/>
      <c r="BJ16" s="194"/>
      <c r="BK16" s="195"/>
      <c r="BL16" s="196"/>
      <c r="BM16" s="289"/>
      <c r="BN16" s="289"/>
      <c r="BO16" s="289"/>
      <c r="BP16" s="290"/>
      <c r="BQ16" s="194"/>
      <c r="BR16" s="195"/>
      <c r="BS16" s="196"/>
      <c r="BT16" s="289"/>
      <c r="BU16" s="289"/>
      <c r="BV16" s="289"/>
      <c r="BW16" s="290"/>
      <c r="BX16" s="109"/>
      <c r="BY16" s="194"/>
      <c r="BZ16" s="195"/>
      <c r="CA16" s="196"/>
      <c r="CB16" s="289"/>
      <c r="CC16" s="289"/>
      <c r="CD16" s="289"/>
      <c r="CE16" s="290"/>
      <c r="CF16" s="194"/>
      <c r="CG16" s="195"/>
      <c r="CH16" s="197"/>
      <c r="CI16" s="197"/>
      <c r="CJ16" s="289"/>
      <c r="CK16" s="289"/>
      <c r="CL16" s="289"/>
      <c r="CM16" s="290"/>
      <c r="CN16" s="194"/>
      <c r="CO16" s="227"/>
      <c r="CP16" s="193"/>
      <c r="CQ16" s="290"/>
      <c r="CR16" s="290"/>
      <c r="CS16" s="290"/>
      <c r="CT16" s="290"/>
      <c r="CU16" s="291"/>
      <c r="CV16" s="227"/>
      <c r="CW16" s="193"/>
      <c r="CX16" s="193"/>
      <c r="CY16" s="290"/>
      <c r="CZ16" s="290"/>
      <c r="DA16" s="290"/>
      <c r="DB16" s="291"/>
      <c r="DC16" s="227"/>
      <c r="DD16" s="292"/>
      <c r="DE16" s="292"/>
      <c r="DF16" s="193"/>
      <c r="DG16" s="290"/>
      <c r="DH16" s="290"/>
      <c r="DI16" s="290"/>
      <c r="DJ16" s="291"/>
      <c r="DK16" s="293"/>
      <c r="DL16" s="198"/>
      <c r="DM16" s="192"/>
      <c r="DN16" s="289"/>
      <c r="DO16" s="289"/>
      <c r="DP16" s="290"/>
      <c r="DQ16" s="194"/>
      <c r="DR16" s="293"/>
      <c r="DS16" s="198"/>
      <c r="DT16" s="192"/>
      <c r="DU16" s="289"/>
      <c r="DV16" s="289"/>
      <c r="DW16" s="290"/>
      <c r="DX16" s="194"/>
      <c r="DY16" s="293"/>
      <c r="DZ16" s="198"/>
      <c r="EA16" s="192"/>
      <c r="EB16" s="289"/>
      <c r="EC16" s="289"/>
      <c r="ED16" s="290"/>
      <c r="EE16" s="290"/>
      <c r="EF16" s="294"/>
      <c r="EG16" s="293"/>
      <c r="EH16" s="295"/>
      <c r="EI16" s="295"/>
      <c r="EJ16" s="277"/>
      <c r="EK16" s="277"/>
      <c r="EL16" s="296"/>
      <c r="EM16" s="294"/>
      <c r="EN16" s="293"/>
      <c r="EO16" s="295"/>
      <c r="EP16" s="295"/>
      <c r="EQ16" s="277"/>
      <c r="ER16" s="277"/>
      <c r="ES16" s="296"/>
      <c r="ET16" s="294"/>
      <c r="EU16" s="293"/>
      <c r="EV16" s="297"/>
      <c r="EW16" s="204"/>
      <c r="EX16" s="298"/>
      <c r="EY16" s="299"/>
      <c r="EZ16" s="294"/>
      <c r="FA16" s="293"/>
      <c r="FB16" s="295"/>
      <c r="FC16" s="295"/>
      <c r="FD16" s="277"/>
      <c r="FE16" s="277"/>
      <c r="FF16" s="277"/>
      <c r="FG16" s="300"/>
      <c r="FH16" s="207"/>
      <c r="FI16" s="295"/>
      <c r="FJ16" s="295"/>
      <c r="FK16" s="277"/>
      <c r="FL16" s="277"/>
      <c r="FM16" s="300"/>
      <c r="FN16" s="207"/>
      <c r="FO16" s="295"/>
      <c r="FP16" s="295"/>
      <c r="FQ16" s="277"/>
      <c r="FR16" s="277"/>
      <c r="FS16" s="301"/>
      <c r="FT16" s="207"/>
      <c r="FU16" s="295"/>
      <c r="FV16" s="295"/>
      <c r="FW16" s="277"/>
      <c r="FX16" s="277"/>
      <c r="FY16" s="277"/>
      <c r="FZ16" s="300"/>
      <c r="GA16" s="207"/>
      <c r="GB16" s="295"/>
      <c r="GC16" s="295"/>
      <c r="GD16" s="277"/>
      <c r="GE16" s="277"/>
      <c r="GF16" s="280"/>
      <c r="GG16" s="280"/>
      <c r="GH16" s="280"/>
      <c r="GI16" s="280"/>
      <c r="GJ16" s="280"/>
      <c r="GK16" s="280"/>
      <c r="GL16" s="280"/>
      <c r="GM16" s="280"/>
      <c r="GN16" s="280"/>
      <c r="GO16" s="280"/>
      <c r="GP16" s="280"/>
      <c r="GQ16" s="280"/>
    </row>
    <row r="17" ht="15.75">
      <c r="A17" s="314" t="s">
        <v>162</v>
      </c>
      <c r="B17" s="218" t="str">
        <f>B7/B15</f>
      </c>
      <c r="C17" s="219" t="str">
        <f>C7/C15</f>
      </c>
      <c r="D17" s="220" t="str">
        <f>D7/D15</f>
      </c>
      <c r="E17" s="220" t="str">
        <f>E7/E15</f>
      </c>
      <c r="F17" s="220" t="str">
        <f>F7/F15</f>
      </c>
      <c r="G17" s="220" t="str">
        <f>G7/G15</f>
      </c>
      <c r="H17" s="220" t="str">
        <f>H7/H15</f>
      </c>
      <c r="I17" s="283" t="str">
        <f>I7/I15</f>
      </c>
      <c r="J17" s="218" t="str">
        <f>J7/J15</f>
      </c>
      <c r="K17" s="219" t="str">
        <f>K7/K15</f>
      </c>
      <c r="L17" s="220" t="str">
        <f>L7/L15</f>
      </c>
      <c r="M17" s="220" t="str">
        <f>M7/M15</f>
      </c>
      <c r="N17" s="220" t="str">
        <f>N7/N15</f>
      </c>
      <c r="O17" s="220" t="str">
        <f>O7/O15</f>
      </c>
      <c r="P17" s="220" t="str">
        <f>P7/P15</f>
      </c>
      <c r="Q17" s="315" t="str">
        <f>Q7/Q15</f>
      </c>
      <c r="R17" s="316" t="str">
        <f>R7/R15</f>
      </c>
      <c r="S17" s="221" t="str">
        <f>S7/S15</f>
      </c>
      <c r="T17" s="220" t="str">
        <f>T7/T15</f>
      </c>
      <c r="U17" s="220" t="str">
        <f>U7/U15</f>
      </c>
      <c r="V17" s="220" t="str">
        <f>V7/V15</f>
      </c>
      <c r="W17" s="220" t="str">
        <f>W7/W15</f>
      </c>
      <c r="X17" s="222" t="str">
        <f>X7/X15</f>
      </c>
      <c r="Y17" s="190" t="str">
        <f>Y7/Y15</f>
      </c>
      <c r="Z17" s="207" t="str">
        <f>Z7/Z15</f>
      </c>
      <c r="AA17" s="317" t="str">
        <f>AA7/AA15</f>
      </c>
      <c r="AB17" s="317" t="str">
        <f>AB7/AB15</f>
      </c>
      <c r="AC17" s="317" t="str">
        <f>AC7/AC15</f>
      </c>
      <c r="AD17" s="317" t="str">
        <f>AD7/AD15</f>
      </c>
      <c r="AE17" s="318" t="str">
        <f>AE7/AE15</f>
      </c>
      <c r="AF17" s="206" t="str">
        <f>AF7/AF15</f>
      </c>
      <c r="AG17" s="207" t="str">
        <f>AG7/AG15</f>
      </c>
      <c r="AH17" s="319" t="str">
        <f>AH7/AH15</f>
      </c>
      <c r="AI17" s="203" t="str">
        <f>AI7/AI15</f>
      </c>
      <c r="AJ17" s="203" t="str">
        <f>AJ7/AJ15</f>
      </c>
      <c r="AK17" s="203" t="str">
        <f>AK7/AK15</f>
      </c>
      <c r="AL17" s="320" t="str">
        <f>AL7/AL15</f>
      </c>
      <c r="AM17" s="190" t="str">
        <f>AM7/AM15</f>
      </c>
      <c r="AN17" s="207" t="str">
        <f>AN7/AN15</f>
      </c>
      <c r="AO17" s="203" t="str">
        <f>AO7/AO15</f>
      </c>
      <c r="AP17" s="204" t="str">
        <f>AP7/AP15</f>
      </c>
      <c r="AQ17" s="204" t="str">
        <f>AQ7/AQ15</f>
      </c>
      <c r="AR17" s="204" t="str">
        <f>AR7/AR15</f>
      </c>
      <c r="AS17" s="204" t="str">
        <f>AS7/AS15</f>
      </c>
      <c r="AT17" s="194" t="str">
        <f>AT7/AT15</f>
      </c>
      <c r="AU17" s="207" t="str">
        <f>AU7/AU15</f>
      </c>
      <c r="AV17" s="203" t="str">
        <f>AV7/AV15</f>
      </c>
      <c r="AW17" s="204" t="str">
        <f>AW7/AW15</f>
      </c>
      <c r="AX17" s="204" t="str">
        <f>AX7/AX15</f>
      </c>
      <c r="AY17" s="204" t="str">
        <f>AY7/AY15</f>
      </c>
      <c r="AZ17" s="204" t="str">
        <f>AZ7/AZ15</f>
      </c>
      <c r="BA17" s="109" t="str">
        <f>AZ17+BD17</f>
      </c>
      <c r="BB17" s="194" t="str">
        <f>BB7/BB15</f>
      </c>
      <c r="BC17" s="190" t="str">
        <f>BC7/BC15</f>
      </c>
      <c r="BD17" s="204" t="str">
        <f>BD7/BD15</f>
      </c>
      <c r="BE17" s="204" t="str">
        <f>BE7/BE15</f>
      </c>
      <c r="BF17" s="204" t="str">
        <f>BF7/BF15</f>
      </c>
      <c r="BG17" s="204" t="str">
        <f>BG7/BG15</f>
      </c>
      <c r="BH17" s="204" t="str">
        <f>BH7/BH15</f>
      </c>
      <c r="BI17" s="109" t="str">
        <f>BH17+BL17</f>
      </c>
      <c r="BJ17" s="194" t="str">
        <f>BJ7/BJ15</f>
      </c>
      <c r="BK17" s="190" t="str">
        <f>BK7/BK15</f>
      </c>
      <c r="BL17" s="204" t="str">
        <f>BL7/BL15</f>
      </c>
      <c r="BM17" s="204" t="str">
        <f>BM7/BM15</f>
      </c>
      <c r="BN17" s="204" t="str">
        <f>BN7/BN15</f>
      </c>
      <c r="BO17" s="204" t="str">
        <f>BO7/BO15</f>
      </c>
      <c r="BP17" s="204" t="str">
        <f>BP7/BP15</f>
      </c>
      <c r="BQ17" s="194" t="str">
        <f>BQ7/BQ15</f>
      </c>
      <c r="BR17" s="195" t="str">
        <f>SUM(BS17:BW17)</f>
      </c>
      <c r="BS17" s="204" t="str">
        <f>BS7/BS15</f>
      </c>
      <c r="BT17" s="204" t="str">
        <f>BT7/BT15</f>
      </c>
      <c r="BU17" s="204" t="str">
        <f>BU7/BU15</f>
      </c>
      <c r="BV17" s="204" t="str">
        <f>BV7/BV15</f>
      </c>
      <c r="BW17" s="204" t="str">
        <f>BW7/BW15</f>
      </c>
      <c r="BX17" s="204" t="str">
        <f>BX7/BX15</f>
      </c>
      <c r="BY17" s="194" t="str">
        <f>BY7/BY15</f>
      </c>
      <c r="BZ17" s="195" t="str">
        <f>SUM(CA17:CE17)</f>
      </c>
      <c r="CA17" s="204" t="str">
        <f>CA7/CA15</f>
      </c>
      <c r="CB17" s="204" t="str">
        <f>CB7/CB15</f>
      </c>
      <c r="CC17" s="204" t="str">
        <f>CC7/CC15</f>
      </c>
      <c r="CD17" s="204" t="str">
        <f>CD7/CD15</f>
      </c>
      <c r="CE17" s="204" t="str">
        <f>CE7/CE15</f>
      </c>
      <c r="CF17" s="194" t="str">
        <f>CF7/CF15</f>
      </c>
      <c r="CG17" s="195" t="str">
        <f>SUM(CH17:CM17)</f>
      </c>
      <c r="CH17" s="204" t="str">
        <f>CH7/CH15</f>
      </c>
      <c r="CI17" s="204" t="str">
        <f>CI7/CI15</f>
      </c>
      <c r="CJ17" s="204" t="str">
        <f>CJ7/CJ15</f>
      </c>
      <c r="CK17" s="204" t="str">
        <f>CK7/CK15</f>
      </c>
      <c r="CL17" s="204" t="str">
        <f>CL7/CL15</f>
      </c>
      <c r="CM17" s="204" t="str">
        <f>CM7/CM15</f>
      </c>
      <c r="CN17" s="194" t="str">
        <f>CN7/CN15</f>
      </c>
      <c r="CO17" s="291" t="str">
        <f>CO7/CO15</f>
      </c>
      <c r="CP17" s="204" t="str">
        <f>CP7/CP15</f>
      </c>
      <c r="CQ17" s="204" t="str">
        <f>CQ7/CQ15</f>
      </c>
      <c r="CR17" s="204" t="str">
        <f>CR7/CR15</f>
      </c>
      <c r="CS17" s="204" t="str">
        <f>CS7/CS15</f>
      </c>
      <c r="CT17" s="204" t="str">
        <f>CT7/CT15</f>
      </c>
      <c r="CU17" s="291" t="str">
        <f>CU7/CU15</f>
      </c>
      <c r="CV17" s="291" t="str">
        <f>CV7/CV15</f>
      </c>
      <c r="CW17" s="204" t="str">
        <f>CW7/CW15</f>
      </c>
      <c r="CX17" s="204" t="str">
        <f>CX7/CX15</f>
      </c>
      <c r="CY17" s="204" t="str">
        <f>CY7/CY15</f>
      </c>
      <c r="CZ17" s="204" t="str">
        <f>CZ7/CZ15</f>
      </c>
      <c r="DA17" s="204" t="str">
        <f>DA7/DA15</f>
      </c>
      <c r="DB17" s="291" t="str">
        <f>DB7/DB15</f>
      </c>
      <c r="DC17" s="291" t="str">
        <f>DC7/DC15</f>
      </c>
      <c r="DD17" s="204" t="str">
        <f>DD7/DD15</f>
      </c>
      <c r="DE17" s="204" t="str">
        <f>DE7/DE15</f>
      </c>
      <c r="DF17" s="204" t="str">
        <f>DF7/DF15</f>
      </c>
      <c r="DG17" s="204" t="str">
        <f>DG7/DG15</f>
      </c>
      <c r="DH17" s="204" t="str">
        <f>DH7/DH15</f>
      </c>
      <c r="DI17" s="204" t="str">
        <f>DI7/DI15</f>
      </c>
      <c r="DJ17" s="291" t="str">
        <f>DJ7/DJ15</f>
      </c>
      <c r="DK17" s="293" t="str">
        <f>DK7/DK15</f>
      </c>
      <c r="DL17" s="295" t="str">
        <f>DL7/DL15</f>
      </c>
      <c r="DM17" s="295" t="str">
        <f>DM7/DM15</f>
      </c>
      <c r="DN17" s="295" t="str">
        <f>DN7/DN15</f>
      </c>
      <c r="DO17" s="295" t="str">
        <f>DO7/DO15</f>
      </c>
      <c r="DP17" s="204" t="str">
        <f>DP7/DP15</f>
      </c>
      <c r="DQ17" s="194" t="str">
        <f>DQ7/DQ15</f>
      </c>
      <c r="DR17" s="293" t="str">
        <f>DR7/DR15</f>
      </c>
      <c r="DS17" s="295" t="str">
        <f>DS7/DS15</f>
      </c>
      <c r="DT17" s="295" t="str">
        <f>DT7/DT15</f>
      </c>
      <c r="DU17" s="295" t="str">
        <f>DU7/DU15</f>
      </c>
      <c r="DV17" s="295" t="str">
        <f>DV7/DV15</f>
      </c>
      <c r="DW17" s="204" t="str">
        <f>DW7/DW15</f>
      </c>
      <c r="DX17" s="194" t="str">
        <f>DX7/DX15</f>
      </c>
      <c r="DY17" s="293" t="str">
        <f>DY7/DY15</f>
      </c>
      <c r="DZ17" s="295" t="str">
        <f>DZ7/DZ15</f>
      </c>
      <c r="EA17" s="295" t="str">
        <f>EA7/EA15</f>
      </c>
      <c r="EB17" s="295" t="str">
        <f>EB7/EB15</f>
      </c>
      <c r="EC17" s="295" t="str">
        <f>EC7/EC15</f>
      </c>
      <c r="ED17" s="204" t="str">
        <f>ED7/ED15</f>
      </c>
      <c r="EE17" s="204" t="str">
        <f>EE7/EE15</f>
      </c>
      <c r="EF17" s="294" t="str">
        <f>EF7/EF15</f>
      </c>
      <c r="EG17" s="293" t="str">
        <f>EG7/EG15</f>
      </c>
      <c r="EH17" s="295" t="str">
        <f>EH7/EH15</f>
      </c>
      <c r="EI17" s="295" t="str">
        <f>EI7/EI15</f>
      </c>
      <c r="EJ17" s="295" t="str">
        <f>EJ7/EJ15</f>
      </c>
      <c r="EK17" s="295" t="str">
        <f>EK7/EK15</f>
      </c>
      <c r="EL17" s="321" t="str">
        <f>EL7/EL15</f>
      </c>
      <c r="EM17" s="294" t="str">
        <f>EM7/EM15</f>
      </c>
      <c r="EN17" s="293" t="str">
        <f>EN7/EN15</f>
      </c>
      <c r="EO17" s="295" t="str">
        <f>EO7/EO15</f>
      </c>
      <c r="EP17" s="295" t="str">
        <f>EP7/EP15</f>
      </c>
      <c r="EQ17" s="295" t="str">
        <f>EQ7/EQ15</f>
      </c>
      <c r="ER17" s="295" t="str">
        <f>ER7/ER15</f>
      </c>
      <c r="ES17" s="321" t="str">
        <f>ES7/ES15</f>
      </c>
      <c r="ET17" s="294" t="str">
        <f>ET7/ET15</f>
      </c>
      <c r="EU17" s="293" t="str">
        <f>EU7/EU15</f>
      </c>
      <c r="EV17" s="203" t="str">
        <f>EV7/EV15</f>
      </c>
      <c r="EW17" s="204" t="str">
        <f>EW7/EW15</f>
      </c>
      <c r="EX17" s="298" t="str">
        <f>EX7/EX15</f>
      </c>
      <c r="EY17" s="299" t="str">
        <f>EY7/EY15</f>
      </c>
      <c r="EZ17" s="294" t="str">
        <f>EZ7/EZ15</f>
      </c>
      <c r="FA17" s="293" t="str">
        <f>FA7/FA15</f>
      </c>
      <c r="FB17" s="295" t="str">
        <f>FB7/FB15</f>
      </c>
      <c r="FC17" s="295" t="str">
        <f>FC7/FC15</f>
      </c>
      <c r="FD17" s="295" t="str">
        <f>FD7/FD15</f>
      </c>
      <c r="FE17" s="295" t="str">
        <f>FE7/FE15</f>
      </c>
      <c r="FF17" s="295" t="str">
        <f>FF7/FF15</f>
      </c>
      <c r="FG17" s="300" t="str">
        <f>FG7/FG15</f>
      </c>
      <c r="FH17" s="207" t="str">
        <f>FH7/FH15</f>
      </c>
      <c r="FI17" s="295" t="str">
        <f>FI7/FI15</f>
      </c>
      <c r="FJ17" s="295" t="str">
        <f>FJ7/FJ15</f>
      </c>
      <c r="FK17" s="295" t="str">
        <f>FK7/FK15</f>
      </c>
      <c r="FL17" s="295" t="str">
        <f>FL7/FL15</f>
      </c>
      <c r="FM17" s="300" t="str">
        <f>FM7/FM15</f>
      </c>
      <c r="FN17" s="207" t="str">
        <f>FN7/FN15</f>
      </c>
      <c r="FO17" s="295" t="str">
        <f>FO7/FO15</f>
      </c>
      <c r="FP17" s="295" t="str">
        <f>FP7/FP15</f>
      </c>
      <c r="FQ17" s="295" t="str">
        <f>FQ7/FQ15</f>
      </c>
      <c r="FR17" s="295" t="str">
        <f>FR7/FR15</f>
      </c>
      <c r="FS17" s="301" t="str">
        <f>FS7/FS15</f>
      </c>
      <c r="FT17" s="207" t="str">
        <f>FT7/FT15</f>
      </c>
      <c r="FU17" s="295" t="str">
        <f>FU7/FU15</f>
      </c>
      <c r="FV17" s="295" t="str">
        <f>FV7/FV15</f>
      </c>
      <c r="FW17" s="295" t="str">
        <f>FW7/FW15</f>
      </c>
      <c r="FX17" s="295" t="str">
        <f>FX7/FX15</f>
      </c>
      <c r="FY17" s="295" t="str">
        <f>FY7/FY15</f>
      </c>
      <c r="FZ17" s="300" t="str">
        <f>FZ7/FZ15</f>
      </c>
      <c r="GA17" s="207" t="str">
        <f>GA7/GA15</f>
      </c>
      <c r="GB17" s="295" t="str">
        <f>GB7/GB15</f>
      </c>
      <c r="GC17" s="295" t="str">
        <f>GC7/GC15</f>
      </c>
      <c r="GD17" s="295" t="str">
        <f>GD7/GD15</f>
      </c>
      <c r="GE17" s="295" t="str">
        <f>GE7/GE15</f>
      </c>
      <c r="GF17" s="322"/>
      <c r="GG17" s="322"/>
      <c r="GH17" s="322"/>
      <c r="GI17" s="322"/>
      <c r="GJ17" s="322"/>
      <c r="GK17" s="322"/>
      <c r="GL17" s="322"/>
      <c r="GM17" s="322"/>
      <c r="GN17" s="322"/>
      <c r="GO17" s="322"/>
      <c r="GP17" s="322"/>
      <c r="GQ17" s="322"/>
    </row>
    <row r="18" hidden="true" ht="13.5">
      <c r="A18" s="323" t="s">
        <v>163</v>
      </c>
      <c r="B18" s="324"/>
      <c r="C18" s="325"/>
      <c r="D18" s="183"/>
      <c r="E18" s="183"/>
      <c r="F18" s="183"/>
      <c r="G18" s="183"/>
      <c r="H18" s="183"/>
      <c r="I18" s="184"/>
      <c r="J18" s="324"/>
      <c r="K18" s="325"/>
      <c r="L18" s="183"/>
      <c r="M18" s="183"/>
      <c r="N18" s="183"/>
      <c r="O18" s="183"/>
      <c r="P18" s="183"/>
      <c r="Q18" s="324"/>
      <c r="R18" s="325"/>
      <c r="S18" s="326"/>
      <c r="T18" s="183"/>
      <c r="U18" s="183"/>
      <c r="V18" s="183"/>
      <c r="W18" s="183"/>
      <c r="X18" s="327"/>
      <c r="Y18" s="288"/>
      <c r="Z18" s="328"/>
      <c r="AA18" s="182"/>
      <c r="AB18" s="183"/>
      <c r="AC18" s="183"/>
      <c r="AD18" s="183"/>
      <c r="AE18" s="184"/>
      <c r="AF18" s="329"/>
      <c r="AG18" s="328"/>
      <c r="AH18" s="330"/>
      <c r="AI18" s="331"/>
      <c r="AJ18" s="331"/>
      <c r="AK18" s="331"/>
      <c r="AL18" s="332"/>
      <c r="AM18" s="333"/>
      <c r="AN18" s="334"/>
      <c r="AO18" s="335"/>
      <c r="AP18" s="333"/>
      <c r="AQ18" s="333"/>
      <c r="AR18" s="333"/>
      <c r="AS18" s="336"/>
      <c r="AT18" s="337"/>
      <c r="AU18" s="334"/>
      <c r="AV18" s="335"/>
      <c r="AW18" s="333"/>
      <c r="AX18" s="333"/>
      <c r="AY18" s="333"/>
      <c r="AZ18" s="336"/>
      <c r="BA18" s="109" t="str">
        <f>AZ18+BD18</f>
      </c>
      <c r="BB18" s="337"/>
      <c r="BC18" s="338"/>
      <c r="BD18" s="336"/>
      <c r="BE18" s="333"/>
      <c r="BF18" s="333"/>
      <c r="BG18" s="333"/>
      <c r="BH18" s="336"/>
      <c r="BI18" s="109" t="str">
        <f>BH18+BL18</f>
      </c>
      <c r="BJ18" s="337"/>
      <c r="BK18" s="338"/>
      <c r="BL18" s="336"/>
      <c r="BM18" s="333"/>
      <c r="BN18" s="333"/>
      <c r="BO18" s="333"/>
      <c r="BP18" s="336"/>
      <c r="BQ18" s="337"/>
      <c r="BR18" s="338"/>
      <c r="BS18" s="336"/>
      <c r="BT18" s="333"/>
      <c r="BU18" s="333"/>
      <c r="BV18" s="333"/>
      <c r="BW18" s="336"/>
      <c r="BX18" s="109" t="str">
        <f>BW18+CA18</f>
      </c>
      <c r="BY18" s="337"/>
      <c r="BZ18" s="338"/>
      <c r="CA18" s="336"/>
      <c r="CB18" s="333"/>
      <c r="CC18" s="333"/>
      <c r="CD18" s="333"/>
      <c r="CE18" s="336"/>
      <c r="CF18" s="337"/>
      <c r="CG18" s="338"/>
      <c r="CH18" s="336"/>
      <c r="CI18" s="336"/>
      <c r="CJ18" s="333"/>
      <c r="CK18" s="333"/>
      <c r="CL18" s="333"/>
      <c r="CM18" s="336"/>
      <c r="CN18" s="337"/>
      <c r="CO18" s="336"/>
      <c r="CP18" s="336"/>
      <c r="CQ18" s="336"/>
      <c r="CR18" s="336"/>
      <c r="CS18" s="336"/>
      <c r="CT18" s="336"/>
      <c r="CU18" s="336"/>
      <c r="CV18" s="336"/>
      <c r="CW18" s="336"/>
      <c r="CX18" s="336"/>
      <c r="CY18" s="336"/>
      <c r="CZ18" s="336"/>
      <c r="DA18" s="336"/>
      <c r="DB18" s="336"/>
      <c r="DC18" s="336"/>
      <c r="DD18" s="339"/>
      <c r="DE18" s="339"/>
      <c r="DF18" s="339"/>
      <c r="DG18" s="339"/>
      <c r="DH18" s="339"/>
      <c r="DI18" s="339"/>
      <c r="DJ18" s="336"/>
      <c r="DK18" s="340"/>
      <c r="DL18" s="341"/>
      <c r="DM18" s="341"/>
      <c r="DN18" s="341"/>
      <c r="DO18" s="341"/>
      <c r="DP18" s="339"/>
      <c r="DQ18" s="337"/>
      <c r="DR18" s="340"/>
      <c r="DS18" s="341"/>
      <c r="DT18" s="341"/>
      <c r="DU18" s="341"/>
      <c r="DV18" s="341"/>
      <c r="DW18" s="339"/>
      <c r="DX18" s="337"/>
      <c r="DY18" s="340"/>
      <c r="DZ18" s="341"/>
      <c r="EA18" s="341"/>
      <c r="EB18" s="341"/>
      <c r="EC18" s="341"/>
      <c r="ED18" s="339"/>
      <c r="EE18" s="339"/>
      <c r="EF18" s="342"/>
      <c r="EG18" s="343"/>
      <c r="EH18" s="344"/>
      <c r="EI18" s="344"/>
      <c r="EJ18" s="344"/>
      <c r="EK18" s="344"/>
      <c r="EL18" s="345"/>
      <c r="EM18" s="342"/>
      <c r="EN18" s="343"/>
      <c r="EO18" s="344"/>
      <c r="EP18" s="344"/>
      <c r="EQ18" s="344"/>
      <c r="ER18" s="344"/>
      <c r="ES18" s="345"/>
      <c r="ET18" s="342"/>
      <c r="EU18" s="343"/>
      <c r="EV18" s="346"/>
      <c r="EW18" s="347"/>
      <c r="EX18" s="339"/>
      <c r="EY18" s="348"/>
      <c r="EZ18" s="342"/>
      <c r="FA18" s="343"/>
      <c r="FB18" s="344"/>
      <c r="FC18" s="344"/>
      <c r="FD18" s="344"/>
      <c r="FE18" s="344"/>
      <c r="FF18" s="344"/>
      <c r="FG18" s="349"/>
      <c r="FH18" s="350"/>
      <c r="FI18" s="344"/>
      <c r="FJ18" s="344"/>
      <c r="FK18" s="344"/>
      <c r="FL18" s="344"/>
      <c r="FM18" s="349"/>
      <c r="FN18" s="350"/>
      <c r="FO18" s="344"/>
      <c r="FP18" s="344"/>
      <c r="FQ18" s="344"/>
      <c r="FR18" s="344"/>
      <c r="FS18" s="341"/>
      <c r="FT18" s="350"/>
      <c r="FU18" s="344"/>
      <c r="FV18" s="344"/>
      <c r="FW18" s="344"/>
      <c r="FX18" s="344"/>
      <c r="FY18" s="344"/>
      <c r="FZ18" s="349"/>
      <c r="GA18" s="350"/>
      <c r="GB18" s="344"/>
      <c r="GC18" s="344"/>
      <c r="GD18" s="344"/>
      <c r="GE18" s="344"/>
      <c r="GF18" s="351"/>
      <c r="GG18" s="351"/>
      <c r="GH18" s="351"/>
      <c r="GI18" s="351"/>
      <c r="GJ18" s="351"/>
      <c r="GK18" s="351"/>
      <c r="GL18" s="351"/>
      <c r="GM18" s="351"/>
      <c r="GN18" s="351"/>
      <c r="GO18" s="351"/>
      <c r="GP18" s="351"/>
      <c r="GQ18" s="351"/>
    </row>
    <row r="19" hidden="true" ht="13.5">
      <c r="A19" s="323" t="s">
        <v>164</v>
      </c>
      <c r="B19" s="324"/>
      <c r="C19" s="325"/>
      <c r="D19" s="183"/>
      <c r="E19" s="183"/>
      <c r="F19" s="183"/>
      <c r="G19" s="183"/>
      <c r="H19" s="183"/>
      <c r="I19" s="184"/>
      <c r="J19" s="324"/>
      <c r="K19" s="325"/>
      <c r="L19" s="183"/>
      <c r="M19" s="183"/>
      <c r="N19" s="183"/>
      <c r="O19" s="183"/>
      <c r="P19" s="183"/>
      <c r="Q19" s="324"/>
      <c r="R19" s="325"/>
      <c r="S19" s="326"/>
      <c r="T19" s="183"/>
      <c r="U19" s="183"/>
      <c r="V19" s="183"/>
      <c r="W19" s="183"/>
      <c r="X19" s="327"/>
      <c r="Y19" s="288"/>
      <c r="Z19" s="328"/>
      <c r="AA19" s="182"/>
      <c r="AB19" s="183"/>
      <c r="AC19" s="183"/>
      <c r="AD19" s="183"/>
      <c r="AE19" s="184"/>
      <c r="AF19" s="329"/>
      <c r="AG19" s="328"/>
      <c r="AH19" s="330"/>
      <c r="AI19" s="331"/>
      <c r="AJ19" s="331"/>
      <c r="AK19" s="331"/>
      <c r="AL19" s="332"/>
      <c r="AM19" s="333"/>
      <c r="AN19" s="334"/>
      <c r="AO19" s="335"/>
      <c r="AP19" s="333"/>
      <c r="AQ19" s="333"/>
      <c r="AR19" s="333"/>
      <c r="AS19" s="336"/>
      <c r="AT19" s="337"/>
      <c r="AU19" s="334"/>
      <c r="AV19" s="335"/>
      <c r="AW19" s="333"/>
      <c r="AX19" s="333"/>
      <c r="AY19" s="333"/>
      <c r="AZ19" s="336"/>
      <c r="BA19" s="109" t="str">
        <f>AZ19+BD19</f>
      </c>
      <c r="BB19" s="337"/>
      <c r="BC19" s="338"/>
      <c r="BD19" s="336"/>
      <c r="BE19" s="333"/>
      <c r="BF19" s="333"/>
      <c r="BG19" s="333"/>
      <c r="BH19" s="336"/>
      <c r="BI19" s="109" t="str">
        <f>BH19+BL19</f>
      </c>
      <c r="BJ19" s="337"/>
      <c r="BK19" s="338"/>
      <c r="BL19" s="336"/>
      <c r="BM19" s="333"/>
      <c r="BN19" s="333"/>
      <c r="BO19" s="333"/>
      <c r="BP19" s="336"/>
      <c r="BQ19" s="337"/>
      <c r="BR19" s="338"/>
      <c r="BS19" s="336"/>
      <c r="BT19" s="333"/>
      <c r="BU19" s="333"/>
      <c r="BV19" s="333"/>
      <c r="BW19" s="336"/>
      <c r="BX19" s="109" t="str">
        <f>BW19+CA19</f>
      </c>
      <c r="BY19" s="337"/>
      <c r="BZ19" s="338"/>
      <c r="CA19" s="336"/>
      <c r="CB19" s="333"/>
      <c r="CC19" s="333"/>
      <c r="CD19" s="333"/>
      <c r="CE19" s="336"/>
      <c r="CF19" s="337"/>
      <c r="CG19" s="338"/>
      <c r="CH19" s="336"/>
      <c r="CI19" s="336"/>
      <c r="CJ19" s="333"/>
      <c r="CK19" s="333"/>
      <c r="CL19" s="333"/>
      <c r="CM19" s="336"/>
      <c r="CN19" s="337"/>
      <c r="CO19" s="336"/>
      <c r="CP19" s="336"/>
      <c r="CQ19" s="336"/>
      <c r="CR19" s="336"/>
      <c r="CS19" s="336"/>
      <c r="CT19" s="336"/>
      <c r="CU19" s="336"/>
      <c r="CV19" s="336"/>
      <c r="CW19" s="336"/>
      <c r="CX19" s="336"/>
      <c r="CY19" s="336"/>
      <c r="CZ19" s="336"/>
      <c r="DA19" s="336"/>
      <c r="DB19" s="336"/>
      <c r="DC19" s="336"/>
      <c r="DD19" s="339"/>
      <c r="DE19" s="339"/>
      <c r="DF19" s="339"/>
      <c r="DG19" s="339"/>
      <c r="DH19" s="339"/>
      <c r="DI19" s="339"/>
      <c r="DJ19" s="336"/>
      <c r="DK19" s="340"/>
      <c r="DL19" s="341"/>
      <c r="DM19" s="341"/>
      <c r="DN19" s="341"/>
      <c r="DO19" s="341"/>
      <c r="DP19" s="339"/>
      <c r="DQ19" s="337"/>
      <c r="DR19" s="340"/>
      <c r="DS19" s="341"/>
      <c r="DT19" s="341"/>
      <c r="DU19" s="341"/>
      <c r="DV19" s="341"/>
      <c r="DW19" s="339"/>
      <c r="DX19" s="337"/>
      <c r="DY19" s="340"/>
      <c r="DZ19" s="341"/>
      <c r="EA19" s="341"/>
      <c r="EB19" s="341"/>
      <c r="EC19" s="341"/>
      <c r="ED19" s="339"/>
      <c r="EE19" s="339"/>
      <c r="EF19" s="352"/>
      <c r="EG19" s="343"/>
      <c r="EH19" s="344"/>
      <c r="EI19" s="344"/>
      <c r="EJ19" s="344"/>
      <c r="EK19" s="344"/>
      <c r="EL19" s="345"/>
      <c r="EM19" s="352"/>
      <c r="EN19" s="343"/>
      <c r="EO19" s="344"/>
      <c r="EP19" s="344"/>
      <c r="EQ19" s="344"/>
      <c r="ER19" s="344"/>
      <c r="ES19" s="345"/>
      <c r="ET19" s="352"/>
      <c r="EU19" s="343"/>
      <c r="EV19" s="346"/>
      <c r="EW19" s="347"/>
      <c r="EX19" s="347"/>
      <c r="EY19" s="353"/>
      <c r="EZ19" s="352"/>
      <c r="FA19" s="343"/>
      <c r="FB19" s="344"/>
      <c r="FC19" s="344"/>
      <c r="FD19" s="344"/>
      <c r="FE19" s="344"/>
      <c r="FF19" s="344"/>
      <c r="FG19" s="354"/>
      <c r="FH19" s="350"/>
      <c r="FI19" s="344"/>
      <c r="FJ19" s="344"/>
      <c r="FK19" s="344"/>
      <c r="FL19" s="344"/>
      <c r="FM19" s="354"/>
      <c r="FN19" s="350"/>
      <c r="FO19" s="344"/>
      <c r="FP19" s="344"/>
      <c r="FQ19" s="344"/>
      <c r="FR19" s="344"/>
      <c r="FS19" s="344"/>
      <c r="FT19" s="350"/>
      <c r="FU19" s="344"/>
      <c r="FV19" s="344"/>
      <c r="FW19" s="344"/>
      <c r="FX19" s="344"/>
      <c r="FY19" s="344"/>
      <c r="FZ19" s="354"/>
      <c r="GA19" s="350"/>
      <c r="GB19" s="344"/>
      <c r="GC19" s="344"/>
      <c r="GD19" s="344"/>
      <c r="GE19" s="344"/>
      <c r="GF19" s="351"/>
      <c r="GG19" s="351"/>
      <c r="GH19" s="351"/>
      <c r="GI19" s="351"/>
      <c r="GJ19" s="351"/>
      <c r="GK19" s="351"/>
      <c r="GL19" s="351"/>
      <c r="GM19" s="351"/>
      <c r="GN19" s="351"/>
      <c r="GO19" s="351"/>
      <c r="GP19" s="351"/>
      <c r="GQ19" s="351"/>
    </row>
    <row r="20" hidden="true" ht="13.5">
      <c r="A20" s="323" t="s">
        <v>165</v>
      </c>
      <c r="B20" s="324"/>
      <c r="C20" s="325"/>
      <c r="D20" s="183"/>
      <c r="E20" s="183"/>
      <c r="F20" s="183"/>
      <c r="G20" s="183"/>
      <c r="H20" s="183"/>
      <c r="I20" s="184"/>
      <c r="J20" s="324"/>
      <c r="K20" s="325"/>
      <c r="L20" s="183"/>
      <c r="M20" s="183"/>
      <c r="N20" s="183"/>
      <c r="O20" s="183"/>
      <c r="P20" s="183"/>
      <c r="Q20" s="324"/>
      <c r="R20" s="325"/>
      <c r="S20" s="326"/>
      <c r="T20" s="183"/>
      <c r="U20" s="183"/>
      <c r="V20" s="183"/>
      <c r="W20" s="183"/>
      <c r="X20" s="327"/>
      <c r="Y20" s="288"/>
      <c r="Z20" s="328"/>
      <c r="AA20" s="182"/>
      <c r="AB20" s="183"/>
      <c r="AC20" s="183"/>
      <c r="AD20" s="183"/>
      <c r="AE20" s="184"/>
      <c r="AF20" s="329"/>
      <c r="AG20" s="328"/>
      <c r="AH20" s="330"/>
      <c r="AI20" s="331"/>
      <c r="AJ20" s="331"/>
      <c r="AK20" s="331"/>
      <c r="AL20" s="332"/>
      <c r="AM20" s="355"/>
      <c r="AN20" s="356"/>
      <c r="AO20" s="357"/>
      <c r="AP20" s="355"/>
      <c r="AQ20" s="355"/>
      <c r="AR20" s="355"/>
      <c r="AS20" s="358"/>
      <c r="AT20" s="359"/>
      <c r="AU20" s="356"/>
      <c r="AV20" s="357"/>
      <c r="AW20" s="355"/>
      <c r="AX20" s="355"/>
      <c r="AY20" s="355"/>
      <c r="AZ20" s="358"/>
      <c r="BA20" s="109" t="str">
        <f>AZ20+BD20</f>
      </c>
      <c r="BB20" s="359"/>
      <c r="BC20" s="360"/>
      <c r="BD20" s="358"/>
      <c r="BE20" s="355"/>
      <c r="BF20" s="355"/>
      <c r="BG20" s="355"/>
      <c r="BH20" s="358"/>
      <c r="BI20" s="109" t="str">
        <f>BH20+BL20</f>
      </c>
      <c r="BJ20" s="359"/>
      <c r="BK20" s="360"/>
      <c r="BL20" s="358"/>
      <c r="BM20" s="355"/>
      <c r="BN20" s="355"/>
      <c r="BO20" s="355"/>
      <c r="BP20" s="358"/>
      <c r="BQ20" s="359"/>
      <c r="BR20" s="360"/>
      <c r="BS20" s="358"/>
      <c r="BT20" s="355"/>
      <c r="BU20" s="355"/>
      <c r="BV20" s="355"/>
      <c r="BW20" s="358"/>
      <c r="BX20" s="109" t="str">
        <f>BW20+CA20</f>
      </c>
      <c r="BY20" s="359"/>
      <c r="BZ20" s="360"/>
      <c r="CA20" s="358"/>
      <c r="CB20" s="355"/>
      <c r="CC20" s="355"/>
      <c r="CD20" s="355"/>
      <c r="CE20" s="358"/>
      <c r="CF20" s="359"/>
      <c r="CG20" s="360"/>
      <c r="CH20" s="358"/>
      <c r="CI20" s="358"/>
      <c r="CJ20" s="355"/>
      <c r="CK20" s="355"/>
      <c r="CL20" s="355"/>
      <c r="CM20" s="358"/>
      <c r="CN20" s="359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61"/>
      <c r="DE20" s="361"/>
      <c r="DF20" s="361"/>
      <c r="DG20" s="361"/>
      <c r="DH20" s="361"/>
      <c r="DI20" s="361"/>
      <c r="DJ20" s="358"/>
      <c r="DK20" s="362"/>
      <c r="DL20" s="363"/>
      <c r="DM20" s="363"/>
      <c r="DN20" s="363"/>
      <c r="DO20" s="363"/>
      <c r="DP20" s="361"/>
      <c r="DQ20" s="359"/>
      <c r="DR20" s="362"/>
      <c r="DS20" s="363"/>
      <c r="DT20" s="363"/>
      <c r="DU20" s="363"/>
      <c r="DV20" s="363"/>
      <c r="DW20" s="361"/>
      <c r="DX20" s="359"/>
      <c r="DY20" s="362"/>
      <c r="DZ20" s="363"/>
      <c r="EA20" s="363"/>
      <c r="EB20" s="363"/>
      <c r="EC20" s="363"/>
      <c r="ED20" s="361"/>
      <c r="EE20" s="361"/>
      <c r="EF20" s="364"/>
      <c r="EG20" s="365"/>
      <c r="EH20" s="366"/>
      <c r="EI20" s="366"/>
      <c r="EJ20" s="366"/>
      <c r="EK20" s="366"/>
      <c r="EL20" s="367"/>
      <c r="EM20" s="364"/>
      <c r="EN20" s="365"/>
      <c r="EO20" s="366"/>
      <c r="EP20" s="366"/>
      <c r="EQ20" s="366"/>
      <c r="ER20" s="366"/>
      <c r="ES20" s="367"/>
      <c r="ET20" s="364"/>
      <c r="EU20" s="365"/>
      <c r="EV20" s="368"/>
      <c r="EW20" s="369"/>
      <c r="EX20" s="369"/>
      <c r="EY20" s="370"/>
      <c r="EZ20" s="364"/>
      <c r="FA20" s="365"/>
      <c r="FB20" s="366"/>
      <c r="FC20" s="366"/>
      <c r="FD20" s="366"/>
      <c r="FE20" s="366"/>
      <c r="FF20" s="366"/>
      <c r="FG20" s="371"/>
      <c r="FH20" s="372"/>
      <c r="FI20" s="366"/>
      <c r="FJ20" s="366"/>
      <c r="FK20" s="366"/>
      <c r="FL20" s="366"/>
      <c r="FM20" s="371"/>
      <c r="FN20" s="372"/>
      <c r="FO20" s="366"/>
      <c r="FP20" s="366"/>
      <c r="FQ20" s="366"/>
      <c r="FR20" s="366"/>
      <c r="FS20" s="366"/>
      <c r="FT20" s="372"/>
      <c r="FU20" s="366"/>
      <c r="FV20" s="366"/>
      <c r="FW20" s="366"/>
      <c r="FX20" s="366"/>
      <c r="FY20" s="366"/>
      <c r="FZ20" s="371"/>
      <c r="GA20" s="372"/>
      <c r="GB20" s="366"/>
      <c r="GC20" s="366"/>
      <c r="GD20" s="366"/>
      <c r="GE20" s="366"/>
      <c r="GF20" s="208"/>
      <c r="GG20" s="208"/>
      <c r="GH20" s="208"/>
      <c r="GI20" s="208"/>
      <c r="GJ20" s="208"/>
      <c r="GK20" s="208"/>
      <c r="GL20" s="208"/>
      <c r="GM20" s="208"/>
      <c r="GN20" s="208"/>
      <c r="GO20" s="208"/>
      <c r="GP20" s="208"/>
      <c r="GQ20" s="208"/>
    </row>
    <row r="21" ht="15.75">
      <c r="A21" s="373" t="s">
        <v>166</v>
      </c>
      <c r="B21" s="130" t="n">
        <v>1822930.79</v>
      </c>
      <c r="C21" s="131" t="str">
        <f>SUM(D21:H21)</f>
      </c>
      <c r="D21" s="94" t="n">
        <v>497533.47</v>
      </c>
      <c r="E21" s="94" t="n">
        <v>383166.07</v>
      </c>
      <c r="F21" s="94" t="n">
        <v>665937.15</v>
      </c>
      <c r="G21" s="94" t="n">
        <v>529425.02</v>
      </c>
      <c r="H21" s="94" t="n">
        <v>53248.86</v>
      </c>
      <c r="I21" s="95" t="str">
        <f>H21+L21</f>
      </c>
      <c r="J21" s="130" t="n">
        <v>1280800.21</v>
      </c>
      <c r="K21" s="131" t="str">
        <f>SUM(L21:P21)</f>
      </c>
      <c r="L21" s="94" t="n">
        <v>336672.76</v>
      </c>
      <c r="M21" s="94" t="n">
        <v>411432.76</v>
      </c>
      <c r="N21" s="94" t="n">
        <v>517775.3</v>
      </c>
      <c r="O21" s="94" t="n">
        <v>623981.17</v>
      </c>
      <c r="P21" s="94" t="n">
        <v>451176.75</v>
      </c>
      <c r="Q21" s="130" t="n">
        <v>1541754.52</v>
      </c>
      <c r="R21" s="131" t="str">
        <f>SUM(S21:X21)</f>
      </c>
      <c r="S21" s="210" t="n">
        <v>598990.5</v>
      </c>
      <c r="T21" s="94" t="n">
        <v>1004452.66</v>
      </c>
      <c r="U21" s="94" t="n">
        <v>1007618.94</v>
      </c>
      <c r="V21" s="94" t="n">
        <v>888735.4</v>
      </c>
      <c r="W21" s="94" t="n">
        <v>873016.3</v>
      </c>
      <c r="X21" s="211" t="n">
        <v>0</v>
      </c>
      <c r="Y21" s="281" t="n">
        <v>2162857.94</v>
      </c>
      <c r="Z21" s="143" t="str">
        <f>SUM(AA21:AE21)</f>
      </c>
      <c r="AA21" s="282" t="n">
        <v>616569.6</v>
      </c>
      <c r="AB21" s="220" t="n">
        <v>618733.7</v>
      </c>
      <c r="AC21" s="220" t="n">
        <v>588238.67</v>
      </c>
      <c r="AD21" s="220" t="n">
        <v>619661.9</v>
      </c>
      <c r="AE21" s="374" t="n">
        <v>24783.88</v>
      </c>
      <c r="AF21" s="284" t="n">
        <v>2063725.95</v>
      </c>
      <c r="AG21" s="285" t="str">
        <f>SUM(AH21:AL21)</f>
      </c>
      <c r="AH21" s="375" t="n">
        <v>420381.33</v>
      </c>
      <c r="AI21" s="376" t="n">
        <v>561513.56</v>
      </c>
      <c r="AJ21" s="376" t="n">
        <v>285505.08</v>
      </c>
      <c r="AK21" s="145" t="n">
        <v>399446.38</v>
      </c>
      <c r="AL21" s="377" t="n">
        <v>179745.92</v>
      </c>
      <c r="AM21" s="281" t="n">
        <v>2000000</v>
      </c>
      <c r="AN21" s="138" t="str">
        <f>SUM(AO21:AS21)</f>
      </c>
      <c r="AO21" s="147" t="n">
        <v>0</v>
      </c>
      <c r="AP21" s="166" t="n">
        <v>233799.14</v>
      </c>
      <c r="AQ21" s="378" t="n">
        <v>324381.42</v>
      </c>
      <c r="AR21" s="166" t="n">
        <v>179123.54</v>
      </c>
      <c r="AS21" s="166" t="n">
        <v>550046.41</v>
      </c>
      <c r="AT21" s="160" t="n">
        <v>2000000</v>
      </c>
      <c r="AU21" s="138" t="str">
        <f>SUM(AV21:AZ21)</f>
      </c>
      <c r="AV21" s="147" t="n">
        <v>111378.72</v>
      </c>
      <c r="AW21" s="166" t="n">
        <v>516529.96</v>
      </c>
      <c r="AX21" s="153" t="n">
        <v>383909.28</v>
      </c>
      <c r="AY21" s="166" t="n">
        <v>376490.93</v>
      </c>
      <c r="AZ21" s="166" t="n">
        <v>91701</v>
      </c>
      <c r="BA21" s="159" t="str">
        <f>AZ21+BD21</f>
      </c>
      <c r="BB21" s="160" t="n">
        <v>2000000</v>
      </c>
      <c r="BC21" s="152" t="str">
        <f>SUM(BD21:BH21)</f>
      </c>
      <c r="BD21" s="153" t="n">
        <v>832525.48</v>
      </c>
      <c r="BE21" s="166" t="n">
        <v>358723.18</v>
      </c>
      <c r="BF21" s="153" t="n">
        <v>682668.31</v>
      </c>
      <c r="BG21" s="166" t="n">
        <v>267730.43</v>
      </c>
      <c r="BH21" s="166" t="n">
        <v>302316.13</v>
      </c>
      <c r="BI21" s="159" t="str">
        <f>BH21+BL21</f>
      </c>
      <c r="BJ21" s="281" t="n">
        <v>2000000</v>
      </c>
      <c r="BK21" s="152" t="str">
        <f>SUM(BL21:BP21)</f>
      </c>
      <c r="BL21" s="153" t="n">
        <v>160381.38</v>
      </c>
      <c r="BM21" s="157" t="n">
        <v>248783.63</v>
      </c>
      <c r="BN21" s="157" t="n">
        <v>439681.37</v>
      </c>
      <c r="BO21" s="166" t="n">
        <v>291223.52</v>
      </c>
      <c r="BP21" s="166" t="n">
        <v>459541.81</v>
      </c>
      <c r="BQ21" s="160" t="n">
        <v>2000000</v>
      </c>
      <c r="BR21" s="152" t="str">
        <f>SUM(BS21:BW21)</f>
      </c>
      <c r="BS21" s="153" t="n">
        <v>371903.35</v>
      </c>
      <c r="BT21" s="157" t="n">
        <v>333409.89</v>
      </c>
      <c r="BU21" s="157" t="n">
        <v>398845.49</v>
      </c>
      <c r="BV21" s="166" t="n">
        <v>389071.86</v>
      </c>
      <c r="BW21" s="166" t="n">
        <v>108044.3</v>
      </c>
      <c r="BX21" s="159" t="str">
        <f>BW21+CA21</f>
      </c>
      <c r="BY21" s="160" t="n">
        <v>2000000</v>
      </c>
      <c r="BZ21" s="152" t="str">
        <f>SUM(CA21:CE21)</f>
      </c>
      <c r="CA21" s="153" t="n">
        <v>490276.47</v>
      </c>
      <c r="CB21" s="157" t="n">
        <v>326231.72</v>
      </c>
      <c r="CC21" s="157" t="n">
        <v>365409.97</v>
      </c>
      <c r="CD21" s="166" t="n">
        <v>367807.18</v>
      </c>
      <c r="CE21" s="166" t="n">
        <v>310236.2</v>
      </c>
      <c r="CF21" s="160" t="n">
        <v>2000000</v>
      </c>
      <c r="CG21" s="152" t="str">
        <f>SUM(CH21:CM21)</f>
      </c>
      <c r="CH21" s="155" t="n">
        <v>79319.02</v>
      </c>
      <c r="CI21" s="155" t="n">
        <v>291734.44</v>
      </c>
      <c r="CJ21" s="157" t="n">
        <v>312345.5</v>
      </c>
      <c r="CK21" s="157" t="n">
        <v>297302.5</v>
      </c>
      <c r="CL21" s="166" t="n">
        <v>530928</v>
      </c>
      <c r="CM21" s="166" t="n">
        <v>16211.25</v>
      </c>
      <c r="CN21" s="160" t="n">
        <v>2500000</v>
      </c>
      <c r="CO21" s="286" t="str">
        <f>SUM(CP21:CT21)</f>
      </c>
      <c r="CP21" s="166" t="n">
        <v>163005.75</v>
      </c>
      <c r="CQ21" s="166" t="n">
        <v>214570.95</v>
      </c>
      <c r="CR21" s="166" t="n">
        <v>317518.11</v>
      </c>
      <c r="CS21" s="166" t="n">
        <v>149355.75</v>
      </c>
      <c r="CT21" s="166" t="n">
        <v>146687.1</v>
      </c>
      <c r="CU21" s="286" t="n">
        <v>2600000</v>
      </c>
      <c r="CV21" s="286" t="str">
        <f>SUM(CW21:DA21)</f>
      </c>
      <c r="CW21" s="166" t="n">
        <v>350194.32</v>
      </c>
      <c r="CX21" s="166" t="n">
        <v>245037.24</v>
      </c>
      <c r="CY21" s="166" t="n">
        <v>209011.15</v>
      </c>
      <c r="CZ21" s="166" t="n">
        <v>182731.2</v>
      </c>
      <c r="DA21" s="166" t="n">
        <v>141329.92</v>
      </c>
      <c r="DB21" s="286" t="n">
        <v>3100000</v>
      </c>
      <c r="DC21" s="286" t="str">
        <f>SUM(DD21:DI21)</f>
      </c>
      <c r="DD21" s="166" t="n">
        <v>77161.77</v>
      </c>
      <c r="DE21" s="166" t="n">
        <v>360820.81</v>
      </c>
      <c r="DF21" s="166" t="n">
        <v>716033.6</v>
      </c>
      <c r="DG21" s="166" t="n">
        <v>1004683.74</v>
      </c>
      <c r="DH21" s="166" t="n">
        <v>536377.67</v>
      </c>
      <c r="DI21" s="166" t="n">
        <v>12781.65</v>
      </c>
      <c r="DJ21" s="286" t="n">
        <v>2000000</v>
      </c>
      <c r="DK21" s="156" t="str">
        <f>SUM(DL21:DP21)</f>
      </c>
      <c r="DL21" s="157" t="n">
        <v>720859.94</v>
      </c>
      <c r="DM21" s="157" t="n">
        <v>333102.58</v>
      </c>
      <c r="DN21" s="157" t="n">
        <v>762069.03</v>
      </c>
      <c r="DO21" s="157" t="n">
        <v>611829.22</v>
      </c>
      <c r="DP21" s="166" t="n">
        <v>12781.65</v>
      </c>
      <c r="DQ21" s="160" t="n">
        <v>2100000</v>
      </c>
      <c r="DR21" s="156" t="str">
        <f>SUM(DS21:DW21)</f>
      </c>
      <c r="DS21" s="157" t="n">
        <v>510911.64</v>
      </c>
      <c r="DT21" s="157" t="n">
        <v>416549.07</v>
      </c>
      <c r="DU21" s="157" t="n">
        <v>538162.5</v>
      </c>
      <c r="DV21" s="157" t="n">
        <v>457864.7</v>
      </c>
      <c r="DW21" s="166" t="n">
        <v>41965.38</v>
      </c>
      <c r="DX21" s="160" t="n">
        <v>2100000</v>
      </c>
      <c r="DY21" s="156" t="str">
        <f>SUM(DZ21:EE21)</f>
      </c>
      <c r="DZ21" s="157" t="n">
        <v>9831</v>
      </c>
      <c r="EA21" s="157" t="n">
        <v>131975.53</v>
      </c>
      <c r="EB21" s="157" t="n">
        <v>240795.09</v>
      </c>
      <c r="EC21" s="157" t="n">
        <v>314627.2</v>
      </c>
      <c r="ED21" s="166" t="n">
        <v>654371.34</v>
      </c>
      <c r="EE21" s="166" t="n">
        <v>166290.29</v>
      </c>
      <c r="EF21" s="161" t="n">
        <v>2700000</v>
      </c>
      <c r="EG21" s="156" t="str">
        <f>SUM(EH21:EL21)</f>
      </c>
      <c r="EH21" s="157" t="n">
        <v>562011.29</v>
      </c>
      <c r="EI21" s="157" t="n">
        <v>277570.1</v>
      </c>
      <c r="EJ21" s="157" t="n">
        <v>893321.61</v>
      </c>
      <c r="EK21" s="157" t="n">
        <v>271783.59</v>
      </c>
      <c r="EL21" s="379" t="n">
        <v>64175.85</v>
      </c>
      <c r="EM21" s="161" t="n">
        <v>2700000</v>
      </c>
      <c r="EN21" s="156" t="str">
        <f>SUM(EO21:ES21)</f>
      </c>
      <c r="EO21" s="157" t="n">
        <v>249085.02</v>
      </c>
      <c r="EP21" s="157" t="n">
        <v>494117.58</v>
      </c>
      <c r="EQ21" s="157" t="n">
        <v>406805.32</v>
      </c>
      <c r="ER21" s="157" t="n">
        <v>311183.88</v>
      </c>
      <c r="ES21" s="379" t="n">
        <v>140840.95</v>
      </c>
      <c r="ET21" s="161" t="n">
        <v>2700000</v>
      </c>
      <c r="EU21" s="156" t="str">
        <f>SUM(EV21:EY21)</f>
      </c>
      <c r="EV21" s="165" t="n">
        <v>359750.88</v>
      </c>
      <c r="EW21" s="166" t="n">
        <v>320724.96</v>
      </c>
      <c r="EX21" s="167" t="n">
        <v>386421.6</v>
      </c>
      <c r="EY21" s="168" t="n">
        <v>292231.2</v>
      </c>
      <c r="EZ21" s="161" t="n">
        <v>2700000</v>
      </c>
      <c r="FA21" s="156" t="str">
        <f>SUM(FB21:FF21)</f>
      </c>
      <c r="FB21" s="157" t="n">
        <v>434555.15</v>
      </c>
      <c r="FC21" s="157" t="n">
        <v>297943</v>
      </c>
      <c r="FD21" s="157" t="n">
        <v>587825.73</v>
      </c>
      <c r="FE21" s="157" t="n">
        <v>348643.2</v>
      </c>
      <c r="FF21" s="157" t="n">
        <v>322255.2</v>
      </c>
      <c r="FG21" s="169" t="n">
        <v>2700000</v>
      </c>
      <c r="FH21" s="138" t="str">
        <f>SUM(FI21:FL21)</f>
      </c>
      <c r="FI21" s="157" t="n">
        <v>413750.1</v>
      </c>
      <c r="FJ21" s="157" t="n">
        <v>248931.1</v>
      </c>
      <c r="FK21" s="157" t="n">
        <v>491062.5</v>
      </c>
      <c r="FL21" s="157" t="n">
        <v>641396.01</v>
      </c>
      <c r="FM21" s="169" t="n">
        <v>2700000</v>
      </c>
      <c r="FN21" s="138" t="str">
        <f>SUM(FO21:FR21)</f>
      </c>
      <c r="FO21" s="157" t="n">
        <v>718806.86</v>
      </c>
      <c r="FP21" s="157" t="n">
        <v>531814.62</v>
      </c>
      <c r="FQ21" s="157" t="n">
        <v>648817.96</v>
      </c>
      <c r="FR21" s="157" t="n">
        <v>535401.2</v>
      </c>
      <c r="FS21" s="171" t="n">
        <v>2700000</v>
      </c>
      <c r="FT21" s="138" t="str">
        <f>SUM(FU21:FY21)</f>
      </c>
      <c r="FU21" s="157" t="n">
        <v>572507.18</v>
      </c>
      <c r="FV21" s="157" t="n">
        <v>308087.5</v>
      </c>
      <c r="FW21" s="157" t="n">
        <v>503024.2</v>
      </c>
      <c r="FX21" s="157" t="n">
        <v>471579.45</v>
      </c>
      <c r="FY21" s="157" t="n">
        <v>621341.74</v>
      </c>
      <c r="FZ21" s="169" t="n">
        <v>2700000</v>
      </c>
      <c r="GA21" s="138" t="str">
        <f>SUM(GB21:GE21)</f>
      </c>
      <c r="GB21" s="157" t="n">
        <v>1229153.73</v>
      </c>
      <c r="GC21" s="157" t="n">
        <v>725763.5</v>
      </c>
      <c r="GD21" s="157" t="n">
        <v>690951.45</v>
      </c>
      <c r="GE21" s="157" t="n">
        <v>984201.75</v>
      </c>
      <c r="GF21" s="380"/>
      <c r="GG21" s="380"/>
      <c r="GH21" s="380"/>
      <c r="GI21" s="380"/>
      <c r="GJ21" s="380"/>
      <c r="GK21" s="380"/>
      <c r="GL21" s="380"/>
      <c r="GM21" s="380"/>
      <c r="GN21" s="380"/>
      <c r="GO21" s="380"/>
      <c r="GP21" s="380"/>
      <c r="GQ21" s="380"/>
    </row>
    <row r="22" ht="15.75">
      <c r="A22" s="381" t="s">
        <v>167</v>
      </c>
      <c r="B22" s="382" t="n">
        <v>147</v>
      </c>
      <c r="C22" s="175" t="str">
        <f>SUM(D22:H22)</f>
      </c>
      <c r="D22" s="383" t="n">
        <v>30</v>
      </c>
      <c r="E22" s="383" t="n">
        <v>30</v>
      </c>
      <c r="F22" s="383" t="n">
        <v>27</v>
      </c>
      <c r="G22" s="383" t="n">
        <v>26</v>
      </c>
      <c r="H22" s="383" t="n">
        <v>5</v>
      </c>
      <c r="I22" s="384" t="str">
        <f>H22+L22</f>
      </c>
      <c r="J22" s="382" t="n">
        <v>113</v>
      </c>
      <c r="K22" s="175" t="str">
        <f>SUM(L22:P22)</f>
      </c>
      <c r="L22" s="383" t="n">
        <v>26</v>
      </c>
      <c r="M22" s="383" t="n">
        <v>20</v>
      </c>
      <c r="N22" s="383" t="n">
        <v>29</v>
      </c>
      <c r="O22" s="383" t="n">
        <v>44</v>
      </c>
      <c r="P22" s="383" t="n">
        <v>23</v>
      </c>
      <c r="Q22" s="382" t="n">
        <v>196</v>
      </c>
      <c r="R22" s="175" t="str">
        <f>SUM(S22:X22)</f>
      </c>
      <c r="S22" s="385" t="n">
        <v>14</v>
      </c>
      <c r="T22" s="383" t="n">
        <v>36</v>
      </c>
      <c r="U22" s="383" t="n">
        <v>60</v>
      </c>
      <c r="V22" s="383" t="n">
        <v>40</v>
      </c>
      <c r="W22" s="383" t="n">
        <v>44</v>
      </c>
      <c r="X22" s="386" t="n">
        <v>0</v>
      </c>
      <c r="Y22" s="387" t="n">
        <v>193</v>
      </c>
      <c r="Z22" s="186" t="str">
        <f>SUM(AA22:AE22)</f>
      </c>
      <c r="AA22" s="388" t="n">
        <v>40</v>
      </c>
      <c r="AB22" s="389" t="n">
        <v>41</v>
      </c>
      <c r="AC22" s="389" t="n">
        <v>47</v>
      </c>
      <c r="AD22" s="389" t="n">
        <v>48</v>
      </c>
      <c r="AE22" s="7" t="n">
        <v>3</v>
      </c>
      <c r="AF22" s="390" t="n">
        <v>143</v>
      </c>
      <c r="AG22" s="186" t="str">
        <f>SUM(AH22:AL22)</f>
      </c>
      <c r="AH22" s="391" t="n">
        <v>24</v>
      </c>
      <c r="AI22" s="392" t="n">
        <v>44</v>
      </c>
      <c r="AJ22" s="392" t="n">
        <v>32</v>
      </c>
      <c r="AK22" s="188" t="n">
        <v>14</v>
      </c>
      <c r="AL22" s="393" t="n">
        <v>9</v>
      </c>
      <c r="AM22" s="394" t="s">
        <v>168</v>
      </c>
      <c r="AN22" s="395" t="str">
        <f>SUM(AO22:AS22)</f>
      </c>
      <c r="AO22" s="191" t="n">
        <v>0</v>
      </c>
      <c r="AP22" s="193" t="n">
        <v>20</v>
      </c>
      <c r="AQ22" s="196" t="n">
        <v>14</v>
      </c>
      <c r="AR22" s="193" t="n">
        <v>14</v>
      </c>
      <c r="AS22" s="193" t="n">
        <v>28</v>
      </c>
      <c r="AT22" s="396" t="s">
        <v>168</v>
      </c>
      <c r="AU22" s="108" t="str">
        <f>SUM(AV22:AZ22)</f>
      </c>
      <c r="AV22" s="191" t="n">
        <v>14</v>
      </c>
      <c r="AW22" s="193" t="n">
        <v>23</v>
      </c>
      <c r="AX22" s="196" t="n">
        <v>26</v>
      </c>
      <c r="AY22" s="193" t="n">
        <v>27</v>
      </c>
      <c r="AZ22" s="193" t="n">
        <v>7</v>
      </c>
      <c r="BA22" s="113" t="str">
        <f>AZ22+BD22</f>
      </c>
      <c r="BB22" s="396" t="s">
        <v>168</v>
      </c>
      <c r="BC22" s="195" t="str">
        <f>SUM(BD22:BH22)</f>
      </c>
      <c r="BD22" s="196" t="n">
        <v>39</v>
      </c>
      <c r="BE22" s="193" t="n">
        <v>32</v>
      </c>
      <c r="BF22" s="196" t="n">
        <v>40</v>
      </c>
      <c r="BG22" s="193" t="n">
        <v>28</v>
      </c>
      <c r="BH22" s="193" t="n">
        <v>19</v>
      </c>
      <c r="BI22" s="113" t="str">
        <f>BH22+BL22</f>
      </c>
      <c r="BJ22" s="394" t="s">
        <v>169</v>
      </c>
      <c r="BK22" s="195" t="str">
        <f>SUM(BL22:BP22)</f>
      </c>
      <c r="BL22" s="196" t="n">
        <v>10</v>
      </c>
      <c r="BM22" s="192" t="n">
        <v>23</v>
      </c>
      <c r="BN22" s="192" t="n">
        <v>38</v>
      </c>
      <c r="BO22" s="193" t="n">
        <v>26</v>
      </c>
      <c r="BP22" s="193" t="n">
        <v>28</v>
      </c>
      <c r="BQ22" s="396" t="s">
        <v>169</v>
      </c>
      <c r="BR22" s="195" t="str">
        <f>SUM(BS22:BW22)</f>
      </c>
      <c r="BS22" s="196" t="n">
        <v>19</v>
      </c>
      <c r="BT22" s="192" t="n">
        <v>23</v>
      </c>
      <c r="BU22" s="192" t="n">
        <v>28</v>
      </c>
      <c r="BV22" s="193" t="n">
        <v>31</v>
      </c>
      <c r="BW22" s="193" t="n">
        <v>9</v>
      </c>
      <c r="BX22" s="113" t="str">
        <f>BW22+CA22</f>
      </c>
      <c r="BY22" s="396" t="s">
        <v>169</v>
      </c>
      <c r="BZ22" s="195" t="str">
        <f>SUM(CA22:CE22)</f>
      </c>
      <c r="CA22" s="196" t="n">
        <v>23</v>
      </c>
      <c r="CB22" s="192" t="n">
        <v>29</v>
      </c>
      <c r="CC22" s="192" t="n">
        <v>32</v>
      </c>
      <c r="CD22" s="193" t="n">
        <v>31</v>
      </c>
      <c r="CE22" s="193" t="n">
        <v>24</v>
      </c>
      <c r="CF22" s="396" t="s">
        <v>169</v>
      </c>
      <c r="CG22" s="195" t="str">
        <f>SUM(CH22:CM22)</f>
      </c>
      <c r="CH22" s="197" t="n">
        <v>7</v>
      </c>
      <c r="CI22" s="197" t="n">
        <v>24</v>
      </c>
      <c r="CJ22" s="192" t="n">
        <v>28</v>
      </c>
      <c r="CK22" s="192" t="n">
        <v>21</v>
      </c>
      <c r="CL22" s="193" t="n">
        <v>35</v>
      </c>
      <c r="CM22" s="193" t="n">
        <v>2</v>
      </c>
      <c r="CN22" s="396" t="s">
        <v>169</v>
      </c>
      <c r="CO22" s="273" t="str">
        <f>SUM(CP22:CT22)</f>
      </c>
      <c r="CP22" s="193" t="n">
        <v>13</v>
      </c>
      <c r="CQ22" s="193" t="n">
        <v>24</v>
      </c>
      <c r="CR22" s="193" t="n">
        <v>26</v>
      </c>
      <c r="CS22" s="193" t="n">
        <v>22</v>
      </c>
      <c r="CT22" s="193" t="n">
        <v>14</v>
      </c>
      <c r="CU22" s="273" t="s">
        <v>169</v>
      </c>
      <c r="CV22" s="273" t="str">
        <f>SUM(CW22:DA22)</f>
      </c>
      <c r="CW22" s="193" t="n">
        <v>15</v>
      </c>
      <c r="CX22" s="193" t="n">
        <v>21</v>
      </c>
      <c r="CY22" s="193" t="n">
        <v>24</v>
      </c>
      <c r="CZ22" s="193" t="n">
        <v>26</v>
      </c>
      <c r="DA22" s="193" t="n">
        <v>16</v>
      </c>
      <c r="DB22" s="273" t="s">
        <v>169</v>
      </c>
      <c r="DC22" s="273" t="str">
        <f>SUM(DD22:DI22)</f>
      </c>
      <c r="DD22" s="193" t="n">
        <v>4</v>
      </c>
      <c r="DE22" s="193" t="n">
        <v>42</v>
      </c>
      <c r="DF22" s="193" t="n">
        <v>45</v>
      </c>
      <c r="DG22" s="193" t="n">
        <v>57</v>
      </c>
      <c r="DH22" s="193" t="n">
        <v>36</v>
      </c>
      <c r="DI22" s="193" t="n">
        <v>3</v>
      </c>
      <c r="DJ22" s="273" t="s">
        <v>169</v>
      </c>
      <c r="DK22" s="202" t="str">
        <f>SUM(DL22:DP22)</f>
      </c>
      <c r="DL22" s="192" t="n">
        <v>34</v>
      </c>
      <c r="DM22" s="192" t="n">
        <v>29</v>
      </c>
      <c r="DN22" s="192" t="n">
        <v>38</v>
      </c>
      <c r="DO22" s="192" t="n">
        <v>40</v>
      </c>
      <c r="DP22" s="193" t="n">
        <v>3</v>
      </c>
      <c r="DQ22" s="396" t="s">
        <v>170</v>
      </c>
      <c r="DR22" s="202" t="str">
        <f>SUM(DS22:DW22)</f>
      </c>
      <c r="DS22" s="192" t="n">
        <v>36</v>
      </c>
      <c r="DT22" s="192" t="n">
        <v>31</v>
      </c>
      <c r="DU22" s="192" t="n">
        <v>34</v>
      </c>
      <c r="DV22" s="192" t="n">
        <v>28</v>
      </c>
      <c r="DW22" s="193" t="n">
        <v>7</v>
      </c>
      <c r="DX22" s="396" t="s">
        <v>170</v>
      </c>
      <c r="DY22" s="202" t="str">
        <f>SUM(DZ22:EE22)</f>
      </c>
      <c r="DZ22" s="192" t="n">
        <v>1</v>
      </c>
      <c r="EA22" s="192" t="n">
        <v>11</v>
      </c>
      <c r="EB22" s="192" t="n">
        <v>17</v>
      </c>
      <c r="EC22" s="192" t="n">
        <v>24</v>
      </c>
      <c r="ED22" s="193" t="n">
        <v>29</v>
      </c>
      <c r="EE22" s="193" t="n">
        <v>5</v>
      </c>
      <c r="EF22" s="396" t="s">
        <v>170</v>
      </c>
      <c r="EG22" s="397" t="str">
        <f>SUM(EH22:EL22)</f>
      </c>
      <c r="EH22" s="398" t="n">
        <v>34</v>
      </c>
      <c r="EI22" s="398" t="n">
        <v>20</v>
      </c>
      <c r="EJ22" s="398" t="n">
        <v>43</v>
      </c>
      <c r="EK22" s="398" t="n">
        <v>34</v>
      </c>
      <c r="EL22" s="399" t="n">
        <v>7</v>
      </c>
      <c r="EM22" s="396" t="s">
        <v>170</v>
      </c>
      <c r="EN22" s="397" t="str">
        <f>SUM(EO22:ES22)</f>
      </c>
      <c r="EO22" s="398" t="n">
        <v>18</v>
      </c>
      <c r="EP22" s="398" t="n">
        <v>26</v>
      </c>
      <c r="EQ22" s="398" t="n">
        <v>28</v>
      </c>
      <c r="ER22" s="398" t="n">
        <v>27</v>
      </c>
      <c r="ES22" s="399" t="n">
        <v>13</v>
      </c>
      <c r="ET22" s="396" t="s">
        <v>170</v>
      </c>
      <c r="EU22" s="202" t="str">
        <f>EV22+EW22+EX22+EY22</f>
      </c>
      <c r="EV22" s="400" t="s">
        <v>171</v>
      </c>
      <c r="EW22" s="401" t="s">
        <v>172</v>
      </c>
      <c r="EX22" s="401" t="s">
        <v>173</v>
      </c>
      <c r="EY22" s="402" t="s">
        <v>172</v>
      </c>
      <c r="EZ22" s="396" t="s">
        <v>170</v>
      </c>
      <c r="FA22" s="397" t="str">
        <f>SUM(FB22:FF22)</f>
      </c>
      <c r="FB22" s="398" t="n">
        <v>14</v>
      </c>
      <c r="FC22" s="398" t="n">
        <v>30</v>
      </c>
      <c r="FD22" s="398" t="n">
        <v>26</v>
      </c>
      <c r="FE22" s="398" t="n">
        <v>30</v>
      </c>
      <c r="FF22" s="398" t="n">
        <v>23</v>
      </c>
      <c r="FG22" s="403" t="s">
        <v>174</v>
      </c>
      <c r="FH22" s="404" t="str">
        <f>SUM(FI22:FL22)</f>
      </c>
      <c r="FI22" s="398" t="n">
        <v>30</v>
      </c>
      <c r="FJ22" s="398" t="n">
        <v>16</v>
      </c>
      <c r="FK22" s="398" t="n">
        <v>35</v>
      </c>
      <c r="FL22" s="398" t="n">
        <v>44</v>
      </c>
      <c r="FM22" s="403" t="s">
        <v>174</v>
      </c>
      <c r="FN22" s="404" t="str">
        <f>SUM(FO22:FR22)</f>
      </c>
      <c r="FO22" s="398" t="n">
        <v>40</v>
      </c>
      <c r="FP22" s="398" t="n">
        <v>31</v>
      </c>
      <c r="FQ22" s="398" t="n">
        <v>37</v>
      </c>
      <c r="FR22" s="398" t="n">
        <v>25</v>
      </c>
      <c r="FS22" s="394" t="s">
        <v>174</v>
      </c>
      <c r="FT22" s="404" t="str">
        <f>SUM(FU22:FY22)</f>
      </c>
      <c r="FU22" s="398" t="n">
        <v>28</v>
      </c>
      <c r="FV22" s="398" t="n">
        <v>28</v>
      </c>
      <c r="FW22" s="398" t="n">
        <v>41</v>
      </c>
      <c r="FX22" s="398" t="n">
        <v>36</v>
      </c>
      <c r="FY22" s="398" t="n">
        <v>26</v>
      </c>
      <c r="FZ22" s="403" t="s">
        <v>174</v>
      </c>
      <c r="GA22" s="404" t="str">
        <f>SUM(GB22:GE22)</f>
      </c>
      <c r="GB22" s="398" t="n">
        <v>58</v>
      </c>
      <c r="GC22" s="398" t="n">
        <v>39</v>
      </c>
      <c r="GD22" s="398" t="n">
        <v>37</v>
      </c>
      <c r="GE22" s="398" t="n">
        <v>49</v>
      </c>
      <c r="GF22" s="405"/>
      <c r="GG22" s="405"/>
      <c r="GH22" s="405"/>
      <c r="GI22" s="405"/>
      <c r="GJ22" s="405"/>
      <c r="GK22" s="405"/>
      <c r="GL22" s="405"/>
      <c r="GM22" s="405"/>
      <c r="GN22" s="405"/>
      <c r="GO22" s="405"/>
      <c r="GP22" s="405"/>
      <c r="GQ22" s="405"/>
    </row>
    <row r="23" ht="15.75">
      <c r="A23" s="373" t="s">
        <v>175</v>
      </c>
      <c r="B23" s="406" t="str">
        <f>B21/B22</f>
      </c>
      <c r="C23" s="407" t="str">
        <f>C21/C22</f>
      </c>
      <c r="D23" s="408" t="str">
        <f>D21/D22</f>
      </c>
      <c r="E23" s="408" t="str">
        <f>E21/E22</f>
      </c>
      <c r="F23" s="408" t="str">
        <f>F21/F22</f>
      </c>
      <c r="G23" s="408" t="str">
        <f>G21/G22</f>
      </c>
      <c r="H23" s="408" t="str">
        <f>H21/H22</f>
      </c>
      <c r="I23" s="409" t="str">
        <f>I21/I22</f>
      </c>
      <c r="J23" s="406" t="str">
        <f>J21/J22</f>
      </c>
      <c r="K23" s="407" t="str">
        <f>K21/K22</f>
      </c>
      <c r="L23" s="408" t="str">
        <f>L21/L22</f>
      </c>
      <c r="M23" s="408" t="str">
        <f>M21/M22</f>
      </c>
      <c r="N23" s="408" t="str">
        <f>N21/N22</f>
      </c>
      <c r="O23" s="408" t="str">
        <f>O21/O22</f>
      </c>
      <c r="P23" s="408" t="str">
        <f>P21/P22</f>
      </c>
      <c r="Q23" s="406" t="str">
        <f>Q21/Q22</f>
      </c>
      <c r="R23" s="407" t="str">
        <f>R21/R22</f>
      </c>
      <c r="S23" s="410" t="str">
        <f>S21/S22</f>
      </c>
      <c r="T23" s="408" t="str">
        <f>T21/T22</f>
      </c>
      <c r="U23" s="408" t="str">
        <f>U21/U22</f>
      </c>
      <c r="V23" s="408" t="str">
        <f>V21/V22</f>
      </c>
      <c r="W23" s="408" t="str">
        <f>W21/W22</f>
      </c>
      <c r="X23" s="411" t="n">
        <v>0</v>
      </c>
      <c r="Y23" s="127" t="str">
        <f>Y21/Y22</f>
      </c>
      <c r="Z23" s="143" t="str">
        <f>Z21/Z22</f>
      </c>
      <c r="AA23" s="408" t="str">
        <f>AA21/AA22</f>
      </c>
      <c r="AB23" s="408" t="str">
        <f>AB21/AB22</f>
      </c>
      <c r="AC23" s="408" t="str">
        <f>AC21/AC22</f>
      </c>
      <c r="AD23" s="408" t="str">
        <f>AD21/AD22</f>
      </c>
      <c r="AE23" s="412" t="str">
        <f>AE21/AE22</f>
      </c>
      <c r="AF23" s="125" t="str">
        <f>AF21/AF22</f>
      </c>
      <c r="AG23" s="143" t="str">
        <f>AG21/AG22</f>
      </c>
      <c r="AH23" s="413" t="str">
        <f>AH21/AH22</f>
      </c>
      <c r="AI23" s="298" t="str">
        <f>AI21/AI22</f>
      </c>
      <c r="AJ23" s="298" t="str">
        <f>AJ21/AJ22</f>
      </c>
      <c r="AK23" s="298" t="str">
        <f>AK21/AK22</f>
      </c>
      <c r="AL23" s="414" t="str">
        <f>AL21/AL22</f>
      </c>
      <c r="AM23" s="394"/>
      <c r="AN23" s="108"/>
      <c r="AO23" s="191"/>
      <c r="AP23" s="193"/>
      <c r="AQ23" s="196"/>
      <c r="AR23" s="193"/>
      <c r="AS23" s="193"/>
      <c r="AT23" s="396"/>
      <c r="AU23" s="108"/>
      <c r="AV23" s="191"/>
      <c r="AW23" s="193"/>
      <c r="AX23" s="196"/>
      <c r="AY23" s="193"/>
      <c r="AZ23" s="193"/>
      <c r="BA23" s="113"/>
      <c r="BB23" s="396"/>
      <c r="BC23" s="195"/>
      <c r="BD23" s="196"/>
      <c r="BE23" s="193"/>
      <c r="BF23" s="196"/>
      <c r="BG23" s="193"/>
      <c r="BH23" s="193"/>
      <c r="BI23" s="113"/>
      <c r="BJ23" s="394"/>
      <c r="BK23" s="195"/>
      <c r="BL23" s="196"/>
      <c r="BM23" s="192"/>
      <c r="BN23" s="192"/>
      <c r="BO23" s="193"/>
      <c r="BP23" s="193"/>
      <c r="BQ23" s="396"/>
      <c r="BR23" s="195"/>
      <c r="BS23" s="196"/>
      <c r="BT23" s="192"/>
      <c r="BU23" s="192"/>
      <c r="BV23" s="193"/>
      <c r="BW23" s="193"/>
      <c r="BX23" s="113"/>
      <c r="BY23" s="396"/>
      <c r="BZ23" s="195"/>
      <c r="CA23" s="196"/>
      <c r="CB23" s="192"/>
      <c r="CC23" s="192"/>
      <c r="CD23" s="193"/>
      <c r="CE23" s="193"/>
      <c r="CF23" s="396"/>
      <c r="CG23" s="195"/>
      <c r="CH23" s="197"/>
      <c r="CI23" s="197"/>
      <c r="CJ23" s="192"/>
      <c r="CK23" s="192"/>
      <c r="CL23" s="193"/>
      <c r="CM23" s="193"/>
      <c r="CN23" s="396"/>
      <c r="CO23" s="273"/>
      <c r="CP23" s="193"/>
      <c r="CQ23" s="193"/>
      <c r="CR23" s="193"/>
      <c r="CS23" s="193"/>
      <c r="CT23" s="193"/>
      <c r="CU23" s="273"/>
      <c r="CV23" s="273"/>
      <c r="CW23" s="193"/>
      <c r="CX23" s="193"/>
      <c r="CY23" s="193"/>
      <c r="CZ23" s="193"/>
      <c r="DA23" s="193"/>
      <c r="DB23" s="273"/>
      <c r="DC23" s="273"/>
      <c r="DD23" s="193"/>
      <c r="DE23" s="193"/>
      <c r="DF23" s="193"/>
      <c r="DG23" s="193"/>
      <c r="DH23" s="193"/>
      <c r="DI23" s="193"/>
      <c r="DJ23" s="273"/>
      <c r="DK23" s="202"/>
      <c r="DL23" s="192"/>
      <c r="DM23" s="192"/>
      <c r="DN23" s="192"/>
      <c r="DO23" s="192"/>
      <c r="DP23" s="193"/>
      <c r="DQ23" s="396"/>
      <c r="DR23" s="202"/>
      <c r="DS23" s="192"/>
      <c r="DT23" s="192"/>
      <c r="DU23" s="192"/>
      <c r="DV23" s="192"/>
      <c r="DW23" s="193"/>
      <c r="DX23" s="396"/>
      <c r="DY23" s="202"/>
      <c r="DZ23" s="192"/>
      <c r="EA23" s="192"/>
      <c r="EB23" s="192"/>
      <c r="EC23" s="192"/>
      <c r="ED23" s="193"/>
      <c r="EE23" s="193"/>
      <c r="EF23" s="396"/>
      <c r="EG23" s="397"/>
      <c r="EH23" s="398"/>
      <c r="EI23" s="398"/>
      <c r="EJ23" s="398"/>
      <c r="EK23" s="398"/>
      <c r="EL23" s="399"/>
      <c r="EM23" s="396"/>
      <c r="EN23" s="397"/>
      <c r="EO23" s="398"/>
      <c r="EP23" s="398"/>
      <c r="EQ23" s="398"/>
      <c r="ER23" s="398"/>
      <c r="ES23" s="399"/>
      <c r="ET23" s="396"/>
      <c r="EU23" s="397"/>
      <c r="EV23" s="400"/>
      <c r="EW23" s="401"/>
      <c r="EX23" s="401"/>
      <c r="EY23" s="402"/>
      <c r="EZ23" s="396"/>
      <c r="FA23" s="397"/>
      <c r="FB23" s="398"/>
      <c r="FC23" s="398"/>
      <c r="FD23" s="398"/>
      <c r="FE23" s="398"/>
      <c r="FF23" s="398"/>
      <c r="FG23" s="403"/>
      <c r="FH23" s="404"/>
      <c r="FI23" s="398"/>
      <c r="FJ23" s="398"/>
      <c r="FK23" s="398"/>
      <c r="FL23" s="398"/>
      <c r="FM23" s="403"/>
      <c r="FN23" s="404"/>
      <c r="FO23" s="398"/>
      <c r="FP23" s="398"/>
      <c r="FQ23" s="398"/>
      <c r="FR23" s="398"/>
      <c r="FS23" s="394"/>
      <c r="FT23" s="404"/>
      <c r="FU23" s="398"/>
      <c r="FV23" s="398"/>
      <c r="FW23" s="398"/>
      <c r="FX23" s="398"/>
      <c r="FY23" s="398"/>
      <c r="FZ23" s="403"/>
      <c r="GA23" s="404"/>
      <c r="GB23" s="398"/>
      <c r="GC23" s="398"/>
      <c r="GD23" s="398"/>
      <c r="GE23" s="398"/>
      <c r="GF23" s="405"/>
      <c r="GG23" s="405"/>
      <c r="GH23" s="405"/>
      <c r="GI23" s="405"/>
      <c r="GJ23" s="405"/>
      <c r="GK23" s="405"/>
      <c r="GL23" s="405"/>
      <c r="GM23" s="405"/>
      <c r="GN23" s="405"/>
      <c r="GO23" s="405"/>
      <c r="GP23" s="405"/>
      <c r="GQ23" s="405"/>
    </row>
    <row r="24" ht="15.75">
      <c r="A24" s="381" t="s">
        <v>176</v>
      </c>
      <c r="B24" s="415" t="n">
        <v>15300</v>
      </c>
      <c r="C24" s="416" t="str">
        <f>SUM(D24:H24)</f>
      </c>
      <c r="D24" s="417" t="n">
        <v>3040</v>
      </c>
      <c r="E24" s="417" t="n">
        <v>3268</v>
      </c>
      <c r="F24" s="417" t="n">
        <v>3132</v>
      </c>
      <c r="G24" s="417" t="n">
        <v>2610</v>
      </c>
      <c r="H24" s="417" t="n">
        <v>908</v>
      </c>
      <c r="I24" s="418" t="str">
        <f>L24+H24</f>
      </c>
      <c r="J24" s="415" t="n">
        <v>18900</v>
      </c>
      <c r="K24" s="416" t="str">
        <f>SUM(L24:P24)</f>
      </c>
      <c r="L24" s="417" t="n">
        <v>1782</v>
      </c>
      <c r="M24" s="417" t="n">
        <v>2689</v>
      </c>
      <c r="N24" s="417" t="n">
        <v>2632</v>
      </c>
      <c r="O24" s="417" t="n">
        <v>2610</v>
      </c>
      <c r="P24" s="417" t="n">
        <v>1873</v>
      </c>
      <c r="Q24" s="415" t="n">
        <v>22100</v>
      </c>
      <c r="R24" s="416" t="str">
        <f>SUM(S24:X24)</f>
      </c>
      <c r="S24" s="419" t="n">
        <v>938</v>
      </c>
      <c r="T24" s="417" t="n">
        <v>3216</v>
      </c>
      <c r="U24" s="417" t="n">
        <v>3260</v>
      </c>
      <c r="V24" s="417" t="n">
        <v>3324</v>
      </c>
      <c r="W24" s="417" t="n">
        <v>3562</v>
      </c>
      <c r="X24" s="420" t="n">
        <v>507</v>
      </c>
      <c r="Y24" s="421" t="n">
        <v>16863</v>
      </c>
      <c r="Z24" s="285" t="str">
        <f>SUM(AA24:AE24)</f>
      </c>
      <c r="AA24" s="422" t="n">
        <v>3277</v>
      </c>
      <c r="AB24" s="423" t="n">
        <v>3813</v>
      </c>
      <c r="AC24" s="423" t="n">
        <v>3800</v>
      </c>
      <c r="AD24" s="423" t="n">
        <v>3633</v>
      </c>
      <c r="AE24" s="424" t="n">
        <v>518</v>
      </c>
      <c r="AF24" s="425" t="n">
        <v>17386</v>
      </c>
      <c r="AG24" s="143" t="str">
        <f>SUM(AH24:AL24)</f>
      </c>
      <c r="AH24" s="391" t="n">
        <v>3035</v>
      </c>
      <c r="AI24" s="392" t="n">
        <v>3374</v>
      </c>
      <c r="AJ24" s="392" t="n">
        <v>3394</v>
      </c>
      <c r="AK24" s="392" t="n">
        <v>2795</v>
      </c>
      <c r="AL24" s="393" t="n">
        <v>1249</v>
      </c>
      <c r="AM24" s="394" t="s">
        <v>177</v>
      </c>
      <c r="AN24" s="108" t="str">
        <f>SUM(AO24:AS24)</f>
      </c>
      <c r="AO24" s="191" t="n">
        <v>762</v>
      </c>
      <c r="AP24" s="193" t="n">
        <v>2223</v>
      </c>
      <c r="AQ24" s="193" t="n">
        <v>2367</v>
      </c>
      <c r="AR24" s="193" t="n">
        <v>2376</v>
      </c>
      <c r="AS24" s="193" t="n">
        <v>2718</v>
      </c>
      <c r="AT24" s="396" t="s">
        <v>177</v>
      </c>
      <c r="AU24" s="108" t="str">
        <f>SUM(AV24:AZ24)</f>
      </c>
      <c r="AV24" s="191" t="n">
        <v>2642</v>
      </c>
      <c r="AW24" s="193" t="n">
        <v>3015</v>
      </c>
      <c r="AX24" s="193" t="n">
        <v>2899</v>
      </c>
      <c r="AY24" s="193" t="n">
        <v>2579</v>
      </c>
      <c r="AZ24" s="193" t="n">
        <v>732</v>
      </c>
      <c r="BA24" s="113" t="str">
        <f>AZ24+BD24</f>
      </c>
      <c r="BB24" s="396" t="s">
        <v>177</v>
      </c>
      <c r="BC24" s="195" t="str">
        <f>SUM(BD24:BH24)</f>
      </c>
      <c r="BD24" s="196" t="n">
        <v>2491</v>
      </c>
      <c r="BE24" s="193" t="n">
        <v>3239</v>
      </c>
      <c r="BF24" s="193" t="n">
        <v>3297</v>
      </c>
      <c r="BG24" s="193" t="n">
        <v>2804</v>
      </c>
      <c r="BH24" s="193" t="n">
        <v>1871</v>
      </c>
      <c r="BI24" s="113" t="str">
        <f>BH24+BL24</f>
      </c>
      <c r="BJ24" s="394" t="s">
        <v>177</v>
      </c>
      <c r="BK24" s="195" t="str">
        <f>SUM(BL24:BP24)</f>
      </c>
      <c r="BL24" s="196" t="n">
        <v>847</v>
      </c>
      <c r="BM24" s="192" t="n">
        <v>2670</v>
      </c>
      <c r="BN24" s="192" t="n">
        <v>2726</v>
      </c>
      <c r="BO24" s="193" t="n">
        <v>2598</v>
      </c>
      <c r="BP24" s="193" t="n">
        <v>2491</v>
      </c>
      <c r="BQ24" s="396" t="s">
        <v>177</v>
      </c>
      <c r="BR24" s="195" t="str">
        <f>SUM(BS24:BW24)</f>
      </c>
      <c r="BS24" s="196" t="n">
        <v>2381</v>
      </c>
      <c r="BT24" s="192" t="n">
        <v>2593</v>
      </c>
      <c r="BU24" s="192" t="n">
        <v>2853</v>
      </c>
      <c r="BV24" s="193" t="n">
        <v>3186</v>
      </c>
      <c r="BW24" s="193" t="n">
        <v>1212</v>
      </c>
      <c r="BX24" s="113" t="str">
        <f>BW24+CA24</f>
      </c>
      <c r="BY24" s="396" t="s">
        <v>178</v>
      </c>
      <c r="BZ24" s="195" t="str">
        <f>SUM(CA24:CE24)</f>
      </c>
      <c r="CA24" s="196" t="n">
        <v>1794</v>
      </c>
      <c r="CB24" s="192" t="n">
        <v>2771</v>
      </c>
      <c r="CC24" s="192" t="n">
        <v>3017</v>
      </c>
      <c r="CD24" s="193" t="n">
        <v>2897</v>
      </c>
      <c r="CE24" s="193" t="n">
        <v>2444</v>
      </c>
      <c r="CF24" s="396" t="s">
        <v>178</v>
      </c>
      <c r="CG24" s="195" t="str">
        <f>SUM(CH24:CM24)</f>
      </c>
      <c r="CH24" s="197" t="n">
        <v>429</v>
      </c>
      <c r="CI24" s="197" t="n">
        <v>2639</v>
      </c>
      <c r="CJ24" s="192" t="n">
        <v>2884</v>
      </c>
      <c r="CK24" s="192" t="n">
        <v>2642</v>
      </c>
      <c r="CL24" s="193" t="n">
        <v>2999</v>
      </c>
      <c r="CM24" s="193" t="n">
        <v>347</v>
      </c>
      <c r="CN24" s="396" t="s">
        <v>178</v>
      </c>
      <c r="CO24" s="273" t="str">
        <f>SUM(CP24:CT24)</f>
      </c>
      <c r="CP24" s="193" t="n">
        <v>2457</v>
      </c>
      <c r="CQ24" s="193" t="n">
        <v>2726</v>
      </c>
      <c r="CR24" s="193" t="n">
        <v>2948</v>
      </c>
      <c r="CS24" s="193" t="n">
        <v>2834</v>
      </c>
      <c r="CT24" s="193" t="n">
        <v>1478</v>
      </c>
      <c r="CU24" s="273" t="s">
        <v>178</v>
      </c>
      <c r="CV24" s="273" t="str">
        <f>SUM(CW24:DA24)</f>
      </c>
      <c r="CW24" s="193" t="n">
        <v>1486</v>
      </c>
      <c r="CX24" s="193" t="n">
        <v>3245</v>
      </c>
      <c r="CY24" s="193" t="n">
        <v>3415</v>
      </c>
      <c r="CZ24" s="193" t="n">
        <v>3680</v>
      </c>
      <c r="DA24" s="193" t="n">
        <v>3379</v>
      </c>
      <c r="DB24" s="273" t="s">
        <v>178</v>
      </c>
      <c r="DC24" s="273" t="str">
        <f>SUM(DD24:DI24)</f>
      </c>
      <c r="DD24" s="193" t="n">
        <v>662</v>
      </c>
      <c r="DE24" s="193" t="n">
        <v>4058</v>
      </c>
      <c r="DF24" s="193" t="n">
        <v>4318</v>
      </c>
      <c r="DG24" s="193" t="n">
        <v>4749</v>
      </c>
      <c r="DH24" s="193" t="n">
        <v>4051</v>
      </c>
      <c r="DI24" s="193" t="n">
        <v>1096</v>
      </c>
      <c r="DJ24" s="273" t="s">
        <v>178</v>
      </c>
      <c r="DK24" s="202" t="str">
        <f>DL24+DM24+DN24+DO24+DP24</f>
      </c>
      <c r="DL24" s="426" t="s">
        <v>179</v>
      </c>
      <c r="DM24" s="426" t="s">
        <v>180</v>
      </c>
      <c r="DN24" s="426" t="s">
        <v>181</v>
      </c>
      <c r="DO24" s="426" t="s">
        <v>182</v>
      </c>
      <c r="DP24" s="401" t="s">
        <v>183</v>
      </c>
      <c r="DQ24" s="396" t="s">
        <v>178</v>
      </c>
      <c r="DR24" s="202" t="str">
        <f>DS24+DT24+DU24+DV24+DW24</f>
      </c>
      <c r="DS24" s="426" t="s">
        <v>184</v>
      </c>
      <c r="DT24" s="426" t="s">
        <v>185</v>
      </c>
      <c r="DU24" s="426" t="s">
        <v>186</v>
      </c>
      <c r="DV24" s="426" t="s">
        <v>187</v>
      </c>
      <c r="DW24" s="401" t="s">
        <v>188</v>
      </c>
      <c r="DX24" s="396" t="s">
        <v>178</v>
      </c>
      <c r="DY24" s="202" t="str">
        <f>DZ24+EA24+EB24+EC24+ED24+EE24</f>
      </c>
      <c r="DZ24" s="426" t="s">
        <v>189</v>
      </c>
      <c r="EA24" s="426" t="s">
        <v>190</v>
      </c>
      <c r="EB24" s="426" t="s">
        <v>191</v>
      </c>
      <c r="EC24" s="426" t="s">
        <v>192</v>
      </c>
      <c r="ED24" s="401" t="s">
        <v>193</v>
      </c>
      <c r="EE24" s="401" t="s">
        <v>194</v>
      </c>
      <c r="EF24" s="396" t="s">
        <v>178</v>
      </c>
      <c r="EG24" s="397" t="str">
        <f>SUM(EH24:EL24)</f>
      </c>
      <c r="EH24" s="398" t="n">
        <v>3494</v>
      </c>
      <c r="EI24" s="398" t="n">
        <v>3840</v>
      </c>
      <c r="EJ24" s="398" t="n">
        <v>4195</v>
      </c>
      <c r="EK24" s="398" t="n">
        <v>3689</v>
      </c>
      <c r="EL24" s="399" t="n">
        <v>1507</v>
      </c>
      <c r="EM24" s="396" t="s">
        <v>178</v>
      </c>
      <c r="EN24" s="397" t="str">
        <f>SUM(EO24:ES24)</f>
      </c>
      <c r="EO24" s="398" t="n">
        <v>2262</v>
      </c>
      <c r="EP24" s="398" t="n">
        <v>3865</v>
      </c>
      <c r="EQ24" s="398" t="n">
        <v>4047</v>
      </c>
      <c r="ER24" s="398" t="n">
        <v>4045</v>
      </c>
      <c r="ES24" s="399" t="n">
        <v>2863</v>
      </c>
      <c r="ET24" s="396" t="s">
        <v>178</v>
      </c>
      <c r="EU24" s="202" t="str">
        <f>EV24+EW24+EX24+EY24</f>
      </c>
      <c r="EV24" s="400" t="s">
        <v>195</v>
      </c>
      <c r="EW24" s="401" t="s">
        <v>196</v>
      </c>
      <c r="EX24" s="401" t="s">
        <v>197</v>
      </c>
      <c r="EY24" s="402" t="s">
        <v>198</v>
      </c>
      <c r="EZ24" s="396" t="s">
        <v>178</v>
      </c>
      <c r="FA24" s="397" t="str">
        <f>SUM(FB24:FF24)</f>
      </c>
      <c r="FB24" s="398" t="n">
        <v>2030</v>
      </c>
      <c r="FC24" s="398" t="n">
        <v>3702</v>
      </c>
      <c r="FD24" s="398" t="n">
        <v>3659</v>
      </c>
      <c r="FE24" s="398" t="n">
        <v>3518</v>
      </c>
      <c r="FF24" s="398" t="n">
        <v>2753</v>
      </c>
      <c r="FG24" s="403" t="s">
        <v>178</v>
      </c>
      <c r="FH24" s="427" t="str">
        <f>SUM(FI24:FL24)</f>
      </c>
      <c r="FI24" s="398" t="n">
        <v>4754</v>
      </c>
      <c r="FJ24" s="398" t="n">
        <v>5135</v>
      </c>
      <c r="FK24" s="398" t="n">
        <v>4975</v>
      </c>
      <c r="FL24" s="398" t="n">
        <v>7219</v>
      </c>
      <c r="FM24" s="403" t="s">
        <v>178</v>
      </c>
      <c r="FN24" s="427" t="str">
        <f>SUM(FO24:FR24)</f>
      </c>
      <c r="FO24" s="398" t="n">
        <v>5558</v>
      </c>
      <c r="FP24" s="398" t="n">
        <v>4131</v>
      </c>
      <c r="FQ24" s="398" t="n">
        <v>4034</v>
      </c>
      <c r="FR24" s="398" t="n">
        <v>4413</v>
      </c>
      <c r="FS24" s="394" t="s">
        <v>178</v>
      </c>
      <c r="FT24" s="427" t="str">
        <f>SUM(FU24:FX24)</f>
      </c>
      <c r="FU24" s="398" t="n">
        <v>3281</v>
      </c>
      <c r="FV24" s="398" t="n">
        <v>4713</v>
      </c>
      <c r="FW24" s="398" t="n">
        <v>5023</v>
      </c>
      <c r="FX24" s="398" t="n">
        <v>4680</v>
      </c>
      <c r="FY24" s="398" t="n">
        <v>3409</v>
      </c>
      <c r="FZ24" s="403" t="s">
        <v>178</v>
      </c>
      <c r="GA24" s="427" t="str">
        <f>SUM(GB24:GE24)</f>
      </c>
      <c r="GB24" s="398" t="n">
        <v>4650</v>
      </c>
      <c r="GC24" s="398" t="n">
        <v>4363</v>
      </c>
      <c r="GD24" s="398" t="n">
        <v>4760</v>
      </c>
      <c r="GE24" s="398" t="n">
        <v>6282</v>
      </c>
      <c r="GF24" s="405"/>
      <c r="GG24" s="405"/>
      <c r="GH24" s="405"/>
      <c r="GI24" s="405"/>
      <c r="GJ24" s="405"/>
      <c r="GK24" s="405"/>
      <c r="GL24" s="405"/>
      <c r="GM24" s="405"/>
      <c r="GN24" s="405"/>
      <c r="GO24" s="405"/>
      <c r="GP24" s="405"/>
      <c r="GQ24" s="405"/>
    </row>
    <row r="25" ht="15.75">
      <c r="A25" s="373" t="s">
        <v>199</v>
      </c>
      <c r="B25" s="236" t="n">
        <v>0.0275</v>
      </c>
      <c r="C25" s="230" t="str">
        <f>AVERAGE(D25:H25)</f>
      </c>
      <c r="D25" s="231"/>
      <c r="E25" s="231" t="n">
        <v>0.0444</v>
      </c>
      <c r="F25" s="231" t="n">
        <v>0.0467</v>
      </c>
      <c r="G25" s="231" t="n">
        <v>0.0461</v>
      </c>
      <c r="H25" s="231" t="n">
        <v>0.0416</v>
      </c>
      <c r="I25" s="235" t="n">
        <v>0.0434</v>
      </c>
      <c r="J25" s="236" t="n">
        <v>0.0275</v>
      </c>
      <c r="K25" s="230" t="str">
        <f>AVERAGE(L25:P25)</f>
      </c>
      <c r="L25" s="231" t="n">
        <v>0.0449</v>
      </c>
      <c r="M25" s="231" t="n">
        <v>0.046</v>
      </c>
      <c r="N25" s="231" t="n">
        <v>0.0444</v>
      </c>
      <c r="O25" s="231" t="n">
        <v>0.0425</v>
      </c>
      <c r="P25" s="428" t="n">
        <v>0.0477</v>
      </c>
      <c r="Q25" s="236" t="n">
        <v>0.0275</v>
      </c>
      <c r="R25" s="230" t="str">
        <f>AVERAGE(S25:X25)</f>
      </c>
      <c r="S25" s="429" t="n">
        <v>0.047</v>
      </c>
      <c r="T25" s="430" t="s">
        <v>200</v>
      </c>
      <c r="U25" s="231" t="n">
        <v>0.0487</v>
      </c>
      <c r="V25" s="231" t="n">
        <v>0.0461</v>
      </c>
      <c r="W25" s="231" t="n">
        <v>0.0448</v>
      </c>
      <c r="X25" s="232" t="n">
        <v>0.0425</v>
      </c>
      <c r="Y25" s="233" t="n">
        <v>0.0275</v>
      </c>
      <c r="Z25" s="431" t="str">
        <f>AVERAGE(AA25:AE25)</f>
      </c>
      <c r="AA25" s="260" t="n">
        <v>0.0467</v>
      </c>
      <c r="AB25" s="231" t="n">
        <v>0.0421</v>
      </c>
      <c r="AC25" s="231" t="n">
        <v>0.0465</v>
      </c>
      <c r="AD25" s="231" t="n">
        <v>0.0389</v>
      </c>
      <c r="AE25" s="235" t="n">
        <v>0.0314</v>
      </c>
      <c r="AF25" s="236" t="n">
        <v>0.0275</v>
      </c>
      <c r="AG25" s="431" t="str">
        <f>AVERAGE(AH25:AL25)</f>
      </c>
      <c r="AH25" s="432" t="n">
        <v>0.0367</v>
      </c>
      <c r="AI25" s="254" t="n">
        <v>0.0355</v>
      </c>
      <c r="AJ25" s="433" t="n">
        <v>0.04</v>
      </c>
      <c r="AK25" s="254" t="n">
        <v>0.0465</v>
      </c>
      <c r="AL25" s="434" t="n">
        <v>0.0425</v>
      </c>
      <c r="AM25" s="233" t="n">
        <v>0.0275</v>
      </c>
      <c r="AN25" s="431" t="str">
        <f>AVERAGE(AO25:AS25)</f>
      </c>
      <c r="AO25" s="435" t="n">
        <v>0.0291</v>
      </c>
      <c r="AP25" s="245" t="n">
        <v>0.0287</v>
      </c>
      <c r="AQ25" s="245" t="n">
        <v>0.0344</v>
      </c>
      <c r="AR25" s="245" t="n">
        <v>0.0349</v>
      </c>
      <c r="AS25" s="245" t="n">
        <v>0.0368</v>
      </c>
      <c r="AT25" s="241" t="n">
        <v>0.0275</v>
      </c>
      <c r="AU25" s="431" t="str">
        <f>AVERAGE(AV25:AZ25)</f>
      </c>
      <c r="AV25" s="435" t="n">
        <v>0.0366</v>
      </c>
      <c r="AW25" s="245" t="n">
        <v>0.037</v>
      </c>
      <c r="AX25" s="245" t="n">
        <v>0.0407</v>
      </c>
      <c r="AY25" s="245" t="n">
        <v>0.0383</v>
      </c>
      <c r="AZ25" s="245" t="n">
        <v>0.0399</v>
      </c>
      <c r="BA25" s="113" t="str">
        <f>AZ25+BD25</f>
      </c>
      <c r="BB25" s="241" t="n">
        <v>0.0275</v>
      </c>
      <c r="BC25" s="436" t="str">
        <f>AVERAGE(BD25:BH25)</f>
      </c>
      <c r="BD25" s="437" t="n">
        <v>0.0343</v>
      </c>
      <c r="BE25" s="245" t="n">
        <v>0.0427</v>
      </c>
      <c r="BF25" s="245" t="n">
        <v>0.0364</v>
      </c>
      <c r="BG25" s="245" t="n">
        <v>0.0329</v>
      </c>
      <c r="BH25" s="245" t="n">
        <v>0.0217</v>
      </c>
      <c r="BI25" s="113" t="str">
        <f>BH25+BL25</f>
      </c>
      <c r="BJ25" s="233" t="n">
        <v>0.0275</v>
      </c>
      <c r="BK25" s="436" t="str">
        <f>AVERAGE(BL25:BP25)</f>
      </c>
      <c r="BL25" s="437" t="n">
        <v>0.0242</v>
      </c>
      <c r="BM25" s="248" t="n">
        <v>0.0285</v>
      </c>
      <c r="BN25" s="248" t="n">
        <v>0.033</v>
      </c>
      <c r="BO25" s="248" t="n">
        <v>0.038</v>
      </c>
      <c r="BP25" s="248" t="n">
        <v>0.0445</v>
      </c>
      <c r="BQ25" s="241" t="n">
        <v>0.0275</v>
      </c>
      <c r="BR25" s="436" t="str">
        <f>AVERAGE(BS25:BW25)</f>
      </c>
      <c r="BS25" s="437" t="n">
        <v>0.0362</v>
      </c>
      <c r="BT25" s="248" t="n">
        <v>0.0365</v>
      </c>
      <c r="BU25" s="248" t="n">
        <v>0.0352</v>
      </c>
      <c r="BV25" s="248" t="n">
        <v>0.0354</v>
      </c>
      <c r="BW25" s="248" t="n">
        <v>0.0352</v>
      </c>
      <c r="BX25" s="113" t="str">
        <f>BW25+CA25</f>
      </c>
      <c r="BY25" s="241" t="n">
        <v>0.0275</v>
      </c>
      <c r="BZ25" s="436" t="str">
        <f>AVERAGE(CA25:CE25)</f>
      </c>
      <c r="CA25" s="437" t="n">
        <v>0.0345</v>
      </c>
      <c r="CB25" s="248" t="n">
        <v>0.0406</v>
      </c>
      <c r="CC25" s="248" t="n">
        <v>0.0425</v>
      </c>
      <c r="CD25" s="248" t="n">
        <v>0.0361</v>
      </c>
      <c r="CE25" s="248" t="n">
        <v>0.0272</v>
      </c>
      <c r="CF25" s="241" t="n">
        <v>0.0275</v>
      </c>
      <c r="CG25" s="436" t="str">
        <f>AVERAGE(CH25:CM25)</f>
      </c>
      <c r="CH25" s="438"/>
      <c r="CI25" s="438" t="n">
        <v>0.0337</v>
      </c>
      <c r="CJ25" s="248" t="n">
        <v>0.0263</v>
      </c>
      <c r="CK25" s="248" t="n">
        <v>0.0407</v>
      </c>
      <c r="CL25" s="248" t="n">
        <v>0.0361</v>
      </c>
      <c r="CM25" s="248" t="n">
        <v>0.0405</v>
      </c>
      <c r="CN25" s="241" t="n">
        <v>0.0275</v>
      </c>
      <c r="CO25" s="244" t="str">
        <f>AVERAGE(CP25:CT25)</f>
      </c>
      <c r="CP25" s="245" t="n">
        <v>0.035</v>
      </c>
      <c r="CQ25" s="245" t="n">
        <v>0.0343</v>
      </c>
      <c r="CR25" s="245" t="n">
        <v>0.0301</v>
      </c>
      <c r="CS25" s="245" t="n">
        <v>0.0171</v>
      </c>
      <c r="CT25" s="245" t="n">
        <v>0.0303</v>
      </c>
      <c r="CU25" s="244" t="n">
        <v>0.0275</v>
      </c>
      <c r="CV25" s="244" t="str">
        <f>AVERAGE(CW25:DA25)</f>
      </c>
      <c r="CW25" s="245" t="n">
        <v>0.0303</v>
      </c>
      <c r="CX25" s="245" t="n">
        <v>0.0298</v>
      </c>
      <c r="CY25" s="245" t="n">
        <v>0.0387</v>
      </c>
      <c r="CZ25" s="245" t="n">
        <v>0.0444</v>
      </c>
      <c r="DA25" s="245" t="n">
        <v>0.0423</v>
      </c>
      <c r="DB25" s="244" t="n">
        <v>0.0275</v>
      </c>
      <c r="DC25" s="244" t="str">
        <f>AVERAGE(DD25:DI25)</f>
      </c>
      <c r="DD25" s="245" t="n">
        <v>0.0395</v>
      </c>
      <c r="DE25" s="245" t="n">
        <v>0.0454</v>
      </c>
      <c r="DF25" s="245" t="n">
        <v>0.0477</v>
      </c>
      <c r="DG25" s="245" t="n">
        <v>0.0461</v>
      </c>
      <c r="DH25" s="245" t="n">
        <v>0.0343</v>
      </c>
      <c r="DI25" s="245" t="n">
        <v>0.0292</v>
      </c>
      <c r="DJ25" s="244" t="n">
        <v>0.0275</v>
      </c>
      <c r="DK25" s="439" t="str">
        <f>AVERAGE(DL25:DP25)</f>
      </c>
      <c r="DL25" s="248" t="n">
        <v>0.0378</v>
      </c>
      <c r="DM25" s="248" t="n">
        <v>0.0314</v>
      </c>
      <c r="DN25" s="248" t="n">
        <v>0.0237</v>
      </c>
      <c r="DO25" s="248" t="n">
        <v>0.0268</v>
      </c>
      <c r="DP25" s="440" t="s">
        <v>201</v>
      </c>
      <c r="DQ25" s="241" t="n">
        <v>0.0275</v>
      </c>
      <c r="DR25" s="439" t="str">
        <f>AVERAGE(DS25:DW25)</f>
      </c>
      <c r="DS25" s="248" t="n">
        <v>0.0291</v>
      </c>
      <c r="DT25" s="248" t="n">
        <v>0.0267</v>
      </c>
      <c r="DU25" s="248" t="n">
        <v>0.0281</v>
      </c>
      <c r="DV25" s="248" t="n">
        <v>0.0275</v>
      </c>
      <c r="DW25" s="245" t="n">
        <v>0.0219</v>
      </c>
      <c r="DX25" s="241" t="n">
        <v>0.0275</v>
      </c>
      <c r="DY25" s="439" t="str">
        <f>AVERAGE(DZ25:ED25)</f>
      </c>
      <c r="DZ25" s="248" t="n">
        <v>0.0188</v>
      </c>
      <c r="EA25" s="248" t="n">
        <v>0.0181</v>
      </c>
      <c r="EB25" s="248" t="n">
        <v>0.0229</v>
      </c>
      <c r="EC25" s="248" t="n">
        <v>0.0266</v>
      </c>
      <c r="ED25" s="245" t="n">
        <v>0.025</v>
      </c>
      <c r="EE25" s="245" t="n">
        <v>0.0024</v>
      </c>
      <c r="EF25" s="250" t="n">
        <v>0.0275</v>
      </c>
      <c r="EG25" s="439" t="str">
        <f>AVERAGE(EH25:EL25)</f>
      </c>
      <c r="EH25" s="248" t="n">
        <v>0.0218</v>
      </c>
      <c r="EI25" s="398" t="s">
        <v>202</v>
      </c>
      <c r="EJ25" s="248" t="n">
        <v>0.0271</v>
      </c>
      <c r="EK25" s="248" t="n">
        <v>0.0254</v>
      </c>
      <c r="EL25" s="441" t="n">
        <v>0.029</v>
      </c>
      <c r="EM25" s="250" t="n">
        <v>0.0275</v>
      </c>
      <c r="EN25" s="439" t="str">
        <f>AVERAGE(EO25:ES25)</f>
      </c>
      <c r="EO25" s="248" t="n">
        <v>0.0341</v>
      </c>
      <c r="EP25" s="248" t="n">
        <v>0.0312</v>
      </c>
      <c r="EQ25" s="248" t="n">
        <v>0.0341</v>
      </c>
      <c r="ER25" s="248" t="n">
        <v>0.0355</v>
      </c>
      <c r="ES25" s="441" t="n">
        <v>0.0356</v>
      </c>
      <c r="ET25" s="250" t="n">
        <v>0.0275</v>
      </c>
      <c r="EU25" s="439" t="str">
        <f>AVERAGE(EV25:EY25)</f>
      </c>
      <c r="EV25" s="442" t="s">
        <v>203</v>
      </c>
      <c r="EW25" s="440" t="s">
        <v>204</v>
      </c>
      <c r="EX25" s="254" t="n">
        <v>0.0411</v>
      </c>
      <c r="EY25" s="255" t="n">
        <v>0.0331</v>
      </c>
      <c r="EZ25" s="250" t="n">
        <v>0.0275</v>
      </c>
      <c r="FA25" s="439" t="str">
        <f>AVERAGE(FB25:FF25)</f>
      </c>
      <c r="FB25" s="248" t="n">
        <v>0.0294</v>
      </c>
      <c r="FC25" s="248" t="n">
        <v>0.0263</v>
      </c>
      <c r="FD25" s="248" t="n">
        <v>0.0297</v>
      </c>
      <c r="FE25" s="248" t="n">
        <v>0.0387</v>
      </c>
      <c r="FF25" s="248" t="n">
        <v>0.034</v>
      </c>
      <c r="FG25" s="256" t="n">
        <v>0.0275</v>
      </c>
      <c r="FH25" s="431" t="str">
        <f>AVERAGE(FI25:FL25)</f>
      </c>
      <c r="FI25" s="248" t="n">
        <v>0.0252</v>
      </c>
      <c r="FJ25" s="248" t="n">
        <v>0.0266</v>
      </c>
      <c r="FK25" s="248" t="n">
        <v>0.0289</v>
      </c>
      <c r="FL25" s="248" t="n">
        <v>0.0266</v>
      </c>
      <c r="FM25" s="256" t="n">
        <v>0.0275</v>
      </c>
      <c r="FN25" s="431"/>
      <c r="FO25" s="248" t="n">
        <v>0.0293</v>
      </c>
      <c r="FP25" s="248" t="n">
        <v>0.0336</v>
      </c>
      <c r="FQ25" s="248" t="n">
        <v>0.0269</v>
      </c>
      <c r="FR25" s="248" t="n">
        <v>0.0319</v>
      </c>
      <c r="FS25" s="258" t="n">
        <v>0.0275</v>
      </c>
      <c r="FT25" s="431" t="n">
        <v>0.0296</v>
      </c>
      <c r="FU25" s="398" t="s">
        <v>205</v>
      </c>
      <c r="FV25" s="398" t="s">
        <v>206</v>
      </c>
      <c r="FW25" s="398" t="s">
        <v>207</v>
      </c>
      <c r="FX25" s="398" t="s">
        <v>208</v>
      </c>
      <c r="FY25" s="398" t="s">
        <v>208</v>
      </c>
      <c r="FZ25" s="256" t="n">
        <v>0.0275</v>
      </c>
      <c r="GA25" s="427" t="s">
        <v>209</v>
      </c>
      <c r="GB25" s="248" t="n">
        <v>0.0357</v>
      </c>
      <c r="GC25" s="398" t="s">
        <v>210</v>
      </c>
      <c r="GD25" s="398" t="s">
        <v>211</v>
      </c>
      <c r="GE25" s="398" t="s">
        <v>212</v>
      </c>
      <c r="GF25" s="405"/>
      <c r="GG25" s="405"/>
      <c r="GH25" s="405"/>
      <c r="GI25" s="405"/>
      <c r="GJ25" s="405"/>
      <c r="GK25" s="405"/>
      <c r="GL25" s="405"/>
      <c r="GM25" s="405"/>
      <c r="GN25" s="405"/>
      <c r="GO25" s="405"/>
      <c r="GP25" s="405"/>
      <c r="GQ25" s="405"/>
    </row>
    <row r="26" ht="15.75">
      <c r="A26" s="373" t="s">
        <v>213</v>
      </c>
      <c r="B26" s="236" t="n">
        <v>0.0071</v>
      </c>
      <c r="C26" s="230" t="str">
        <f>AVERAGE(D26:H26)</f>
      </c>
      <c r="D26" s="231"/>
      <c r="E26" s="231" t="n">
        <v>0.0072</v>
      </c>
      <c r="F26" s="231" t="n">
        <v>0.0077</v>
      </c>
      <c r="G26" s="231" t="n">
        <v>0.0065</v>
      </c>
      <c r="H26" s="231" t="n">
        <v>0.0097</v>
      </c>
      <c r="I26" s="235" t="n">
        <v>0.0079</v>
      </c>
      <c r="J26" s="236" t="n">
        <v>0.0071</v>
      </c>
      <c r="K26" s="230" t="str">
        <f>AVERAGE(L26:P26)</f>
      </c>
      <c r="L26" s="231" t="n">
        <v>0.0052</v>
      </c>
      <c r="M26" s="231" t="n">
        <v>0.0101</v>
      </c>
      <c r="N26" s="231" t="n">
        <v>0.009</v>
      </c>
      <c r="O26" s="231" t="n">
        <v>0.0086</v>
      </c>
      <c r="P26" s="443" t="s">
        <v>214</v>
      </c>
      <c r="Q26" s="236" t="n">
        <v>0.0071</v>
      </c>
      <c r="R26" s="230" t="str">
        <f>AVERAGE(S26:X26)</f>
      </c>
      <c r="S26" s="429" t="n">
        <v>0.0107</v>
      </c>
      <c r="T26" s="231" t="n">
        <v>0.009</v>
      </c>
      <c r="U26" s="231" t="n">
        <v>0.0114</v>
      </c>
      <c r="V26" s="231" t="n">
        <v>0.0088</v>
      </c>
      <c r="W26" s="231" t="n">
        <v>0.0085</v>
      </c>
      <c r="X26" s="232" t="n">
        <v>0.0062</v>
      </c>
      <c r="Y26" s="233" t="n">
        <v>0.0071</v>
      </c>
      <c r="Z26" s="431" t="str">
        <f>AVERAGE(AA26:AE26)</f>
      </c>
      <c r="AA26" s="260" t="n">
        <v>0.0095</v>
      </c>
      <c r="AB26" s="231" t="n">
        <v>0.0084</v>
      </c>
      <c r="AC26" s="231" t="n">
        <v>0.0092</v>
      </c>
      <c r="AD26" s="231" t="n">
        <v>0.0095</v>
      </c>
      <c r="AE26" s="235" t="n">
        <v>0.0041</v>
      </c>
      <c r="AF26" s="236" t="n">
        <v>0.0071</v>
      </c>
      <c r="AG26" s="431" t="str">
        <f>AVERAGE(AH26:AL26)</f>
      </c>
      <c r="AH26" s="432" t="n">
        <v>0.0069</v>
      </c>
      <c r="AI26" s="254" t="n">
        <v>0.0077</v>
      </c>
      <c r="AJ26" s="254" t="n">
        <v>0.0076</v>
      </c>
      <c r="AK26" s="254" t="n">
        <v>0.0054</v>
      </c>
      <c r="AL26" s="434" t="n">
        <v>0.0071</v>
      </c>
      <c r="AM26" s="233" t="n">
        <v>0.0071</v>
      </c>
      <c r="AN26" s="431" t="str">
        <f>AVERAGE(AO26:AS26)</f>
      </c>
      <c r="AO26" s="435" t="n">
        <v>0.0057</v>
      </c>
      <c r="AP26" s="245" t="n">
        <v>0.0067</v>
      </c>
      <c r="AQ26" s="245" t="n">
        <v>0.006</v>
      </c>
      <c r="AR26" s="245" t="n">
        <v>0.005</v>
      </c>
      <c r="AS26" s="245" t="n">
        <v>0.0074</v>
      </c>
      <c r="AT26" s="241" t="n">
        <v>0.0071</v>
      </c>
      <c r="AU26" s="431" t="str">
        <f>AVERAGE(AV26:AZ26)</f>
      </c>
      <c r="AV26" s="435" t="n">
        <v>0.0069</v>
      </c>
      <c r="AW26" s="245" t="n">
        <v>0.0067</v>
      </c>
      <c r="AX26" s="245" t="n">
        <v>0.0094</v>
      </c>
      <c r="AY26" s="245" t="n">
        <v>0.0075</v>
      </c>
      <c r="AZ26" s="245" t="n">
        <v>0.0063</v>
      </c>
      <c r="BA26" s="113" t="str">
        <f>AZ26+BD26</f>
      </c>
      <c r="BB26" s="241" t="n">
        <v>0.0071</v>
      </c>
      <c r="BC26" s="436" t="str">
        <f>AVERAGE(BD26:BH26)</f>
      </c>
      <c r="BD26" s="437" t="n">
        <v>0.0113</v>
      </c>
      <c r="BE26" s="245" t="n">
        <v>0.0081</v>
      </c>
      <c r="BF26" s="245" t="n">
        <v>0.0077</v>
      </c>
      <c r="BG26" s="245" t="n">
        <v>0.0066</v>
      </c>
      <c r="BH26" s="245" t="n">
        <v>0.004</v>
      </c>
      <c r="BI26" s="113" t="str">
        <f>BH26+BL26</f>
      </c>
      <c r="BJ26" s="233" t="n">
        <v>0.0071</v>
      </c>
      <c r="BK26" s="436" t="str">
        <f>AVERAGE(BL26:BP26)</f>
      </c>
      <c r="BL26" s="437" t="n">
        <v>0.049</v>
      </c>
      <c r="BM26" s="248" t="n">
        <v>0.006</v>
      </c>
      <c r="BN26" s="248" t="n">
        <v>0.0092</v>
      </c>
      <c r="BO26" s="248" t="n">
        <v>0.0079</v>
      </c>
      <c r="BP26" s="248" t="n">
        <v>0.0091</v>
      </c>
      <c r="BQ26" s="241" t="n">
        <v>0.0071</v>
      </c>
      <c r="BR26" s="436" t="str">
        <f>AVERAGE(BS26:BW26)</f>
      </c>
      <c r="BS26" s="444" t="s">
        <v>215</v>
      </c>
      <c r="BT26" s="248" t="n">
        <v>0.0078</v>
      </c>
      <c r="BU26" s="248" t="n">
        <v>0.0072</v>
      </c>
      <c r="BV26" s="248" t="n">
        <v>0.0072</v>
      </c>
      <c r="BW26" s="248" t="n">
        <v>0.0058</v>
      </c>
      <c r="BX26" s="113" t="str">
        <f>BW26+CA26</f>
      </c>
      <c r="BY26" s="241" t="n">
        <v>0.0071</v>
      </c>
      <c r="BZ26" s="436" t="str">
        <f>AVERAGE(CA26:CE26)</f>
      </c>
      <c r="CA26" s="437" t="n">
        <v>0.0067</v>
      </c>
      <c r="CB26" s="248" t="n">
        <v>0.0085</v>
      </c>
      <c r="CC26" s="248" t="n">
        <v>0.0078</v>
      </c>
      <c r="CD26" s="248" t="n">
        <v>0.0055</v>
      </c>
      <c r="CE26" s="248" t="n">
        <v>0.004</v>
      </c>
      <c r="CF26" s="241" t="n">
        <v>0.0071</v>
      </c>
      <c r="CG26" s="436" t="str">
        <f>AVERAGE(CH26:CM26)</f>
      </c>
      <c r="CH26" s="438"/>
      <c r="CI26" s="438" t="n">
        <v>0.0059</v>
      </c>
      <c r="CJ26" s="248" t="n">
        <v>0.0038</v>
      </c>
      <c r="CK26" s="248" t="n">
        <v>0.0059</v>
      </c>
      <c r="CL26" s="248" t="n">
        <v>0.0067</v>
      </c>
      <c r="CM26" s="248" t="n">
        <v>0.0041</v>
      </c>
      <c r="CN26" s="241" t="n">
        <v>0.0071</v>
      </c>
      <c r="CO26" s="439" t="str">
        <f>AVERAGE(CP26:CT26)</f>
      </c>
      <c r="CP26" s="248" t="n">
        <v>0.0062</v>
      </c>
      <c r="CQ26" s="248" t="n">
        <v>0.0073</v>
      </c>
      <c r="CR26" s="248" t="n">
        <v>0.0055</v>
      </c>
      <c r="CS26" s="248" t="n">
        <v>0.0026</v>
      </c>
      <c r="CT26" s="248" t="n">
        <v>0.003</v>
      </c>
      <c r="CU26" s="241" t="n">
        <v>0.0071</v>
      </c>
      <c r="CV26" s="439" t="str">
        <f>AVERAGE(CW26:DA26)</f>
      </c>
      <c r="CW26" s="248" t="n">
        <v>0.0054</v>
      </c>
      <c r="CX26" s="248" t="n">
        <v>0.0054</v>
      </c>
      <c r="CY26" s="248" t="n">
        <v>0.0069</v>
      </c>
      <c r="CZ26" s="248" t="n">
        <v>0.0096</v>
      </c>
      <c r="DA26" s="248" t="n">
        <v>0.0081</v>
      </c>
      <c r="DB26" s="241" t="n">
        <v>0.0071</v>
      </c>
      <c r="DC26" s="439" t="str">
        <f>AVERAGE(DD26:DI26)</f>
      </c>
      <c r="DD26" s="248" t="n">
        <v>0.0066</v>
      </c>
      <c r="DE26" s="248" t="n">
        <v>0.0088</v>
      </c>
      <c r="DF26" s="248" t="n">
        <v>0.0093</v>
      </c>
      <c r="DG26" s="248" t="n">
        <v>0.0097</v>
      </c>
      <c r="DH26" s="248" t="n">
        <v>0.0067</v>
      </c>
      <c r="DI26" s="248" t="n">
        <v>0.0037</v>
      </c>
      <c r="DJ26" s="241" t="n">
        <v>0.0071</v>
      </c>
      <c r="DK26" s="439" t="str">
        <f>AVERAGE(DL26:DP26)</f>
      </c>
      <c r="DL26" s="248" t="n">
        <v>0.0086</v>
      </c>
      <c r="DM26" s="248" t="n">
        <v>0.0055</v>
      </c>
      <c r="DN26" s="248" t="n">
        <v>0.0039</v>
      </c>
      <c r="DO26" s="248" t="n">
        <v>0.0054</v>
      </c>
      <c r="DP26" s="440" t="s">
        <v>216</v>
      </c>
      <c r="DQ26" s="241" t="n">
        <v>0.0071</v>
      </c>
      <c r="DR26" s="439" t="str">
        <f>AVERAGE(DS26:DW26)</f>
      </c>
      <c r="DS26" s="248" t="n">
        <v>0.0052</v>
      </c>
      <c r="DT26" s="248" t="n">
        <v>0.0045</v>
      </c>
      <c r="DU26" s="248" t="n">
        <v>0.0055</v>
      </c>
      <c r="DV26" s="248" t="n">
        <v>0.0051</v>
      </c>
      <c r="DW26" s="245" t="n">
        <v>0.0023</v>
      </c>
      <c r="DX26" s="241" t="n">
        <v>0.0071</v>
      </c>
      <c r="DY26" s="439" t="str">
        <f>AVERAGE(DZ26:ED26)</f>
      </c>
      <c r="DZ26" s="248" t="n">
        <v>0.0063</v>
      </c>
      <c r="EA26" s="248" t="n">
        <v>0.0038</v>
      </c>
      <c r="EB26" s="248" t="n">
        <v>0.0041</v>
      </c>
      <c r="EC26" s="248" t="n">
        <v>0.0053</v>
      </c>
      <c r="ED26" s="245" t="n">
        <v>0.0058</v>
      </c>
      <c r="EE26" s="245" t="n">
        <v>0.0248</v>
      </c>
      <c r="EF26" s="250" t="n">
        <v>0.0071</v>
      </c>
      <c r="EG26" s="439" t="str">
        <f>AVERAGE(EH26:EL26)</f>
      </c>
      <c r="EH26" s="248" t="n">
        <v>0.0039</v>
      </c>
      <c r="EI26" s="248" t="n">
        <v>0.0034</v>
      </c>
      <c r="EJ26" s="248" t="n">
        <v>0.0054</v>
      </c>
      <c r="EK26" s="248" t="n">
        <v>0.0058</v>
      </c>
      <c r="EL26" s="441" t="n">
        <v>0.0033</v>
      </c>
      <c r="EM26" s="250" t="n">
        <v>0.0071</v>
      </c>
      <c r="EN26" s="439" t="str">
        <f>AVERAGE(EO26:ES26)</f>
      </c>
      <c r="EO26" s="248" t="n">
        <v>0.0062</v>
      </c>
      <c r="EP26" s="248" t="n">
        <v>0.0055</v>
      </c>
      <c r="EQ26" s="248" t="n">
        <v>0.0066</v>
      </c>
      <c r="ER26" s="248" t="n">
        <v>0.0066</v>
      </c>
      <c r="ES26" s="441" t="n">
        <v>0.0062</v>
      </c>
      <c r="ET26" s="250" t="n">
        <v>0.0071</v>
      </c>
      <c r="EU26" s="439" t="str">
        <f>AVERAGE(EV26:EY26)</f>
      </c>
      <c r="EV26" s="442" t="s">
        <v>217</v>
      </c>
      <c r="EW26" s="440" t="s">
        <v>218</v>
      </c>
      <c r="EX26" s="254" t="n">
        <v>0.0098</v>
      </c>
      <c r="EY26" s="255" t="n">
        <v>0.0055</v>
      </c>
      <c r="EZ26" s="250" t="n">
        <v>0.0071</v>
      </c>
      <c r="FA26" s="439" t="str">
        <f>AVERAGE(FB26:FF26)</f>
      </c>
      <c r="FB26" s="248" t="n">
        <v>0.0071</v>
      </c>
      <c r="FC26" s="248" t="n">
        <v>0.0081</v>
      </c>
      <c r="FD26" s="248" t="n">
        <v>0.0061</v>
      </c>
      <c r="FE26" s="248" t="n">
        <v>0.0072</v>
      </c>
      <c r="FF26" s="248" t="n">
        <v>0.0052</v>
      </c>
      <c r="FG26" s="256" t="n">
        <v>0.0071</v>
      </c>
      <c r="FH26" s="431" t="str">
        <f>AVERAGE(FI26:FL26)</f>
      </c>
      <c r="FI26" s="248" t="n">
        <v>0.0053</v>
      </c>
      <c r="FJ26" s="248" t="n">
        <v>0.0031</v>
      </c>
      <c r="FK26" s="248" t="n">
        <v>0.006</v>
      </c>
      <c r="FL26" s="248" t="n">
        <v>0.0047</v>
      </c>
      <c r="FM26" s="256" t="n">
        <v>0.0071</v>
      </c>
      <c r="FN26" s="431"/>
      <c r="FO26" s="248" t="n">
        <v>0.0055</v>
      </c>
      <c r="FP26" s="248" t="n">
        <v>0.0069</v>
      </c>
      <c r="FQ26" s="248" t="n">
        <v>0.0053</v>
      </c>
      <c r="FR26" s="398" t="s">
        <v>219</v>
      </c>
      <c r="FS26" s="258" t="n">
        <v>0.0071</v>
      </c>
      <c r="FT26" s="431" t="n">
        <v>0.0057</v>
      </c>
      <c r="FU26" s="398" t="s">
        <v>220</v>
      </c>
      <c r="FV26" s="398" t="s">
        <v>221</v>
      </c>
      <c r="FW26" s="398" t="s">
        <v>222</v>
      </c>
      <c r="FX26" s="398" t="s">
        <v>208</v>
      </c>
      <c r="FY26" s="398" t="s">
        <v>208</v>
      </c>
      <c r="FZ26" s="256" t="n">
        <v>0.0071</v>
      </c>
      <c r="GA26" s="427" t="s">
        <v>215</v>
      </c>
      <c r="GB26" s="398" t="s">
        <v>223</v>
      </c>
      <c r="GC26" s="398" t="s">
        <v>224</v>
      </c>
      <c r="GD26" s="398" t="s">
        <v>225</v>
      </c>
      <c r="GE26" s="398" t="s">
        <v>226</v>
      </c>
      <c r="GF26" s="405"/>
      <c r="GG26" s="405"/>
      <c r="GH26" s="405"/>
      <c r="GI26" s="405"/>
      <c r="GJ26" s="405"/>
      <c r="GK26" s="405"/>
      <c r="GL26" s="405"/>
      <c r="GM26" s="405"/>
      <c r="GN26" s="405"/>
      <c r="GO26" s="405"/>
      <c r="GP26" s="405"/>
      <c r="GQ26" s="405"/>
    </row>
    <row r="27" ht="15.75">
      <c r="A27" s="373" t="s">
        <v>227</v>
      </c>
      <c r="B27" s="236" t="n">
        <v>0.05</v>
      </c>
      <c r="C27" s="230" t="str">
        <f>AVERAGE(D27:H27)</f>
      </c>
      <c r="D27" s="231"/>
      <c r="E27" s="231" t="str">
        <f>E9/2210</f>
      </c>
      <c r="F27" s="231" t="str">
        <f>F9/2265</f>
      </c>
      <c r="G27" s="231" t="str">
        <f>G9/2333</f>
      </c>
      <c r="H27" s="231" t="str">
        <f>H9/927</f>
      </c>
      <c r="I27" s="428" t="str">
        <f>I9/2131</f>
      </c>
      <c r="J27" s="236" t="n">
        <v>0.05</v>
      </c>
      <c r="K27" s="230" t="str">
        <f>AVERAGE(L27:P27)</f>
      </c>
      <c r="L27" s="231" t="str">
        <f>L9/1204</f>
      </c>
      <c r="M27" s="231" t="str">
        <f>M9/2260</f>
      </c>
      <c r="N27" s="231" t="str">
        <f>N9/2221</f>
      </c>
      <c r="O27" s="231" t="str">
        <f>O9/1896</f>
      </c>
      <c r="P27" s="428" t="str">
        <f>P9/2169</f>
      </c>
      <c r="Q27" s="236" t="n">
        <v>0.05</v>
      </c>
      <c r="R27" s="230" t="str">
        <f>AVERAGE(S27:X27)</f>
      </c>
      <c r="S27" s="231" t="str">
        <f>S9/812</f>
      </c>
      <c r="T27" s="231" t="str">
        <f>T9/2311</f>
      </c>
      <c r="U27" s="231" t="str">
        <f>U9/3170</f>
      </c>
      <c r="V27" s="231" t="str">
        <f>V9/3575</f>
      </c>
      <c r="W27" s="231" t="str">
        <f>W9/3237</f>
      </c>
      <c r="X27" s="232" t="str">
        <f>X9/272</f>
      </c>
      <c r="Y27" s="233" t="n">
        <v>0.2</v>
      </c>
      <c r="Z27" s="431" t="str">
        <f>AVERAGE(AA27:AE27)</f>
      </c>
      <c r="AA27" s="260" t="str">
        <f>AA9/2692</f>
      </c>
      <c r="AB27" s="231" t="str">
        <f>AB9/3107</f>
      </c>
      <c r="AC27" s="231" t="str">
        <f>AC9/3268</f>
      </c>
      <c r="AD27" s="231" t="str">
        <f>AD9/2477</f>
      </c>
      <c r="AE27" s="235" t="str">
        <f>AE9/302</f>
      </c>
      <c r="AF27" s="236" t="n">
        <v>0.2</v>
      </c>
      <c r="AG27" s="431" t="str">
        <f>AVERAGE(AH27:AL27)</f>
      </c>
      <c r="AH27" s="445" t="str">
        <f>AH9/2165</f>
      </c>
      <c r="AI27" s="253" t="str">
        <f>AI9/2401</f>
      </c>
      <c r="AJ27" s="253" t="str">
        <f>AJ9/2345</f>
      </c>
      <c r="AK27" s="253" t="str">
        <f>AK9/1288</f>
      </c>
      <c r="AL27" s="446" t="str">
        <f>AL9/366</f>
      </c>
      <c r="AM27" s="233" t="n">
        <v>0.2</v>
      </c>
      <c r="AN27" s="431" t="str">
        <f>AVERAGE(AO27:AS27)</f>
      </c>
      <c r="AO27" s="253" t="str">
        <f>AO9/306</f>
      </c>
      <c r="AP27" s="245" t="str">
        <f>AP9/1078</f>
      </c>
      <c r="AQ27" s="245" t="str">
        <f>AQ9/1297</f>
      </c>
      <c r="AR27" s="245" t="str">
        <f>AR9/1303</f>
      </c>
      <c r="AS27" s="245" t="str">
        <f>70/1465</f>
      </c>
      <c r="AT27" s="241" t="n">
        <v>0.2</v>
      </c>
      <c r="AU27" s="431" t="str">
        <f>AVERAGE(AV27:AZ27)</f>
      </c>
      <c r="AV27" s="435" t="str">
        <f>72/1829</f>
      </c>
      <c r="AW27" s="245" t="str">
        <f>68/1633</f>
      </c>
      <c r="AX27" s="245" t="str">
        <f>93/1671</f>
      </c>
      <c r="AY27" s="245" t="str">
        <f>69/1594</f>
      </c>
      <c r="AZ27" s="245" t="str">
        <f>13/410</f>
      </c>
      <c r="BA27" s="113" t="str">
        <f>AZ27+BD27</f>
      </c>
      <c r="BB27" s="241" t="n">
        <v>0.2</v>
      </c>
      <c r="BC27" s="436" t="str">
        <f>AVERAGE(BD27:BH27)</f>
      </c>
      <c r="BD27" s="437" t="str">
        <f>73/1000</f>
      </c>
      <c r="BE27" s="245" t="str">
        <f>76/1651</f>
      </c>
      <c r="BF27" s="245" t="str">
        <f>84/1805</f>
      </c>
      <c r="BG27" s="245" t="str">
        <f>74/1520</f>
      </c>
      <c r="BH27" s="245" t="str">
        <f>50/920</f>
      </c>
      <c r="BI27" s="113" t="str">
        <f>BH27+BL27</f>
      </c>
      <c r="BJ27" s="233" t="n">
        <v>0.2</v>
      </c>
      <c r="BK27" s="436" t="str">
        <f>AVERAGE(BL27:BP27)</f>
      </c>
      <c r="BL27" s="437" t="n">
        <v>0.0049</v>
      </c>
      <c r="BM27" s="248" t="str">
        <f>74/1315</f>
      </c>
      <c r="BN27" s="248" t="str">
        <f>100/1455</f>
      </c>
      <c r="BO27" s="248" t="str">
        <f>80/1518</f>
      </c>
      <c r="BP27" s="248" t="str">
        <f>86/2120</f>
      </c>
      <c r="BQ27" s="241" t="n">
        <v>0.2</v>
      </c>
      <c r="BR27" s="436" t="str">
        <f>AVERAGE(BS27:BW27)</f>
      </c>
      <c r="BS27" s="437" t="str">
        <f>66/1560</f>
      </c>
      <c r="BT27" s="248" t="str">
        <f>82/1667</f>
      </c>
      <c r="BU27" s="248" t="str">
        <f>76/1458</f>
      </c>
      <c r="BV27" s="248" t="str">
        <f>79/1593</f>
      </c>
      <c r="BW27" s="248" t="str">
        <f>28/776</f>
      </c>
      <c r="BX27" s="113" t="str">
        <f>BW27+CA27</f>
      </c>
      <c r="BY27" s="241" t="n">
        <v>0.2</v>
      </c>
      <c r="BZ27" s="436" t="str">
        <f>AVERAGE(CA27:CE27)</f>
      </c>
      <c r="CA27" s="437" t="str">
        <f>49/1021</f>
      </c>
      <c r="CB27" s="248" t="str">
        <f>105/2242</f>
      </c>
      <c r="CC27" s="248" t="str">
        <f>100/1973</f>
      </c>
      <c r="CD27" s="248" t="str">
        <f>74/2207</f>
      </c>
      <c r="CE27" s="248" t="str">
        <f>73/2054</f>
      </c>
      <c r="CF27" s="241" t="n">
        <v>0.2</v>
      </c>
      <c r="CG27" s="436" t="str">
        <f>AVERAGE(CH27:CM27)</f>
      </c>
      <c r="CH27" s="438"/>
      <c r="CI27" s="438" t="str">
        <f>114/2638</f>
      </c>
      <c r="CJ27" s="248" t="str">
        <f>81/2458</f>
      </c>
      <c r="CK27" s="248" t="str">
        <f>75/2313</f>
      </c>
      <c r="CL27" s="248" t="str">
        <f>93/2420</f>
      </c>
      <c r="CM27" s="248" t="str">
        <f>6/207</f>
      </c>
      <c r="CN27" s="241" t="n">
        <v>0.2</v>
      </c>
      <c r="CO27" s="439" t="str">
        <f>AVERAGE(CP27:CT27)</f>
      </c>
      <c r="CP27" s="248" t="str">
        <f>72/1686</f>
      </c>
      <c r="CQ27" s="248" t="str">
        <f>86/2058</f>
      </c>
      <c r="CR27" s="248" t="str">
        <f>84/1896</f>
      </c>
      <c r="CS27" s="248" t="str">
        <f>91/2607</f>
      </c>
      <c r="CT27" s="248" t="str">
        <f>51/1689</f>
      </c>
      <c r="CU27" s="241" t="n">
        <v>0.2</v>
      </c>
      <c r="CV27" s="439" t="str">
        <f>AVERAGE(CW27:DA27)</f>
      </c>
      <c r="CW27" s="248" t="str">
        <f>50/1282</f>
      </c>
      <c r="CX27" s="248" t="str">
        <f>115/2808</f>
      </c>
      <c r="CY27" s="248" t="str">
        <f>114/2924</f>
      </c>
      <c r="CZ27" s="248" t="str">
        <f>119/2485</f>
      </c>
      <c r="DA27" s="248" t="str">
        <f>93/2503</f>
      </c>
      <c r="DB27" s="241" t="n">
        <v>0.2</v>
      </c>
      <c r="DC27" s="439" t="str">
        <f>AVERAGE(DD27:DI27)</f>
      </c>
      <c r="DD27" s="248" t="str">
        <f>13/421</f>
      </c>
      <c r="DE27" s="248" t="str">
        <f>123/3094</f>
      </c>
      <c r="DF27" s="248" t="str">
        <f>128/3575</f>
      </c>
      <c r="DG27" s="248" t="str">
        <f>129/3133</f>
      </c>
      <c r="DH27" s="248" t="str">
        <f>102/2539</f>
      </c>
      <c r="DI27" s="248" t="str">
        <f>26/861</f>
      </c>
      <c r="DJ27" s="241" t="n">
        <v>0.2</v>
      </c>
      <c r="DK27" s="439" t="str">
        <f>AVERAGE(DL27:DP27)</f>
      </c>
      <c r="DL27" s="248" t="str">
        <f>114/3095</f>
      </c>
      <c r="DM27" s="248" t="str">
        <f>113/2745</f>
      </c>
      <c r="DN27" s="248" t="str">
        <f>110/3559</f>
      </c>
      <c r="DO27" s="248" t="str">
        <f>136/3265</f>
      </c>
      <c r="DP27" s="245" t="str">
        <f>16/869</f>
      </c>
      <c r="DQ27" s="241" t="n">
        <v>0.2</v>
      </c>
      <c r="DR27" s="439" t="str">
        <f>AVERAGE(DS27:DW27)</f>
      </c>
      <c r="DS27" s="248" t="str">
        <f>87/2288</f>
      </c>
      <c r="DT27" s="248" t="str">
        <f>117/2948</f>
      </c>
      <c r="DU27" s="248" t="str">
        <f>99/2328</f>
      </c>
      <c r="DV27" s="248" t="str">
        <f>64/1623</f>
      </c>
      <c r="DW27" s="245" t="str">
        <f>14/586</f>
      </c>
      <c r="DX27" s="241" t="n">
        <v>0.2</v>
      </c>
      <c r="DY27" s="439" t="str">
        <f>AVERAGE(DZ27:ED27)</f>
      </c>
      <c r="DZ27" s="248" t="str">
        <f>4/52</f>
      </c>
      <c r="EA27" s="248" t="str">
        <f>46/866</f>
      </c>
      <c r="EB27" s="248" t="str">
        <f>53/1289</f>
      </c>
      <c r="EC27" s="248" t="str">
        <f>75/1484</f>
      </c>
      <c r="ED27" s="245" t="str">
        <f>79/1418</f>
      </c>
      <c r="EE27" s="245" t="str">
        <f>9/566</f>
      </c>
      <c r="EF27" s="250" t="n">
        <v>0.2</v>
      </c>
      <c r="EG27" s="439" t="str">
        <f>AVERAGE(EH27:EL27)</f>
      </c>
      <c r="EH27" s="248" t="str">
        <f>79/2275</f>
      </c>
      <c r="EI27" s="248" t="str">
        <f>71/1856</f>
      </c>
      <c r="EJ27" s="248" t="str">
        <f>95/2163</f>
      </c>
      <c r="EK27" s="248" t="str">
        <f>103/1922</f>
      </c>
      <c r="EL27" s="441" t="str">
        <f>20/551</f>
      </c>
      <c r="EM27" s="250" t="n">
        <v>0.2</v>
      </c>
      <c r="EN27" s="439" t="str">
        <f>AVERAGE(EO27:ES27)</f>
      </c>
      <c r="EO27" s="248" t="str">
        <f>63/1468</f>
      </c>
      <c r="EP27" s="248" t="str">
        <f>74/1733</f>
      </c>
      <c r="EQ27" s="248" t="str">
        <f>89/1749</f>
      </c>
      <c r="ER27" s="248" t="str">
        <f>78/1771</f>
      </c>
      <c r="ES27" s="441" t="str">
        <f>64/1354</f>
      </c>
      <c r="ET27" s="250" t="n">
        <v>0.2</v>
      </c>
      <c r="EU27" s="439"/>
      <c r="EV27" s="253" t="str">
        <f>102/2293</f>
      </c>
      <c r="EW27" s="245" t="str">
        <f>81/2226*100%</f>
      </c>
      <c r="EX27" s="254"/>
      <c r="EY27" s="255"/>
      <c r="EZ27" s="250" t="n">
        <v>0.2</v>
      </c>
      <c r="FA27" s="439"/>
      <c r="FB27" s="248" t="str">
        <f>FB26*FB25/100</f>
      </c>
      <c r="FC27" s="398" t="s">
        <v>208</v>
      </c>
      <c r="FD27" s="398" t="s">
        <v>208</v>
      </c>
      <c r="FE27" s="398" t="s">
        <v>208</v>
      </c>
      <c r="FF27" s="447"/>
      <c r="FG27" s="256" t="n">
        <v>0.2</v>
      </c>
      <c r="FH27" s="431"/>
      <c r="FI27" s="248" t="str">
        <f>FI26*FI25/100</f>
      </c>
      <c r="FJ27" s="248"/>
      <c r="FK27" s="447"/>
      <c r="FL27" s="447"/>
      <c r="FM27" s="256" t="n">
        <v>0.2</v>
      </c>
      <c r="FN27" s="448"/>
      <c r="FO27" s="248"/>
      <c r="FP27" s="248"/>
      <c r="FQ27" s="447"/>
      <c r="FR27" s="447"/>
      <c r="FS27" s="258" t="n">
        <v>0.2</v>
      </c>
      <c r="FT27" s="448" t="n">
        <v>0.1914</v>
      </c>
      <c r="FU27" s="248"/>
      <c r="FV27" s="248"/>
      <c r="FW27" s="447"/>
      <c r="FX27" s="447"/>
      <c r="FY27" s="447"/>
      <c r="FZ27" s="256" t="n">
        <v>0.2</v>
      </c>
      <c r="GA27" s="448" t="n">
        <v>0.2</v>
      </c>
      <c r="GB27" s="248" t="n">
        <v>0.18</v>
      </c>
      <c r="GC27" s="248" t="n">
        <v>0.22</v>
      </c>
      <c r="GD27" s="447" t="n">
        <v>0.2</v>
      </c>
      <c r="GE27" s="447" t="n">
        <v>0.18</v>
      </c>
      <c r="GF27" s="449"/>
      <c r="GG27" s="449"/>
      <c r="GH27" s="449"/>
      <c r="GI27" s="449"/>
      <c r="GJ27" s="449"/>
      <c r="GK27" s="449"/>
      <c r="GL27" s="449"/>
      <c r="GM27" s="449"/>
      <c r="GN27" s="449"/>
      <c r="GO27" s="449"/>
      <c r="GP27" s="449"/>
      <c r="GQ27" s="449"/>
    </row>
    <row r="28" ht="15.75">
      <c r="A28" s="450" t="s">
        <v>228</v>
      </c>
      <c r="B28" s="451" t="n">
        <v>500</v>
      </c>
      <c r="C28" s="263" t="str">
        <f>SUM(D28:H28)</f>
      </c>
      <c r="D28" s="135"/>
      <c r="E28" s="135"/>
      <c r="F28" s="135"/>
      <c r="G28" s="135"/>
      <c r="H28" s="135"/>
      <c r="I28" s="452"/>
      <c r="J28" s="451" t="n">
        <v>500</v>
      </c>
      <c r="K28" s="263" t="str">
        <f>SUM(L28:P28)</f>
      </c>
      <c r="L28" s="135"/>
      <c r="M28" s="135"/>
      <c r="N28" s="135"/>
      <c r="O28" s="135"/>
      <c r="P28" s="135"/>
      <c r="Q28" s="451" t="n">
        <v>500</v>
      </c>
      <c r="R28" s="263" t="str">
        <f>SUM(S28:X28)</f>
      </c>
      <c r="S28" s="134"/>
      <c r="T28" s="135"/>
      <c r="U28" s="135"/>
      <c r="V28" s="135"/>
      <c r="W28" s="135"/>
      <c r="X28" s="136"/>
      <c r="Y28" s="453" t="n">
        <v>500</v>
      </c>
      <c r="Z28" s="454" t="str">
        <f>SUM(AA28:AE28)</f>
      </c>
      <c r="AA28" s="455"/>
      <c r="AB28" s="135"/>
      <c r="AC28" s="135"/>
      <c r="AD28" s="135"/>
      <c r="AE28" s="452"/>
      <c r="AF28" s="456" t="n">
        <v>500</v>
      </c>
      <c r="AG28" s="454" t="str">
        <f>SUM(AH28:AL28)</f>
      </c>
      <c r="AH28" s="457"/>
      <c r="AI28" s="458"/>
      <c r="AJ28" s="458"/>
      <c r="AK28" s="458"/>
      <c r="AL28" s="459"/>
      <c r="AM28" s="453" t="n">
        <v>500</v>
      </c>
      <c r="AN28" s="454" t="str">
        <f>SUM(AO28:AS28)</f>
      </c>
      <c r="AO28" s="460"/>
      <c r="AP28" s="197"/>
      <c r="AQ28" s="197"/>
      <c r="AR28" s="197"/>
      <c r="AS28" s="197"/>
      <c r="AT28" s="461" t="n">
        <v>500</v>
      </c>
      <c r="AU28" s="454" t="str">
        <f>SUM(AV28:AZ28)</f>
      </c>
      <c r="AV28" s="460"/>
      <c r="AW28" s="197"/>
      <c r="AX28" s="197"/>
      <c r="AY28" s="197"/>
      <c r="AZ28" s="197"/>
      <c r="BA28" s="197"/>
      <c r="BB28" s="461" t="n">
        <v>500</v>
      </c>
      <c r="BC28" s="462" t="str">
        <f>SUM(BD28:BH28)</f>
      </c>
      <c r="BD28" s="197"/>
      <c r="BE28" s="197"/>
      <c r="BF28" s="197"/>
      <c r="BG28" s="197"/>
      <c r="BH28" s="197"/>
      <c r="BI28" s="197"/>
      <c r="BJ28" s="453" t="n">
        <v>500</v>
      </c>
      <c r="BK28" s="462" t="str">
        <f>SUM(BL28:BP28)</f>
      </c>
      <c r="BL28" s="197"/>
      <c r="BM28" s="463" t="n">
        <v>101</v>
      </c>
      <c r="BN28" s="463"/>
      <c r="BO28" s="463"/>
      <c r="BP28" s="197"/>
      <c r="BQ28" s="461" t="n">
        <v>500</v>
      </c>
      <c r="BR28" s="462" t="str">
        <f>SUM(BS28:BW28)</f>
      </c>
      <c r="BS28" s="197"/>
      <c r="BT28" s="463"/>
      <c r="BU28" s="463"/>
      <c r="BV28" s="463"/>
      <c r="BW28" s="197"/>
      <c r="BX28" s="113" t="str">
        <f>BW28+CA28</f>
      </c>
      <c r="BY28" s="461" t="n">
        <v>500</v>
      </c>
      <c r="BZ28" s="462" t="str">
        <f>SUM(CA28:CE28)</f>
      </c>
      <c r="CA28" s="197"/>
      <c r="CB28" s="463"/>
      <c r="CC28" s="463"/>
      <c r="CD28" s="464"/>
      <c r="CE28" s="197"/>
      <c r="CF28" s="461" t="n">
        <v>500</v>
      </c>
      <c r="CG28" s="462" t="str">
        <f>SUM(CH28:CM28)</f>
      </c>
      <c r="CH28" s="197"/>
      <c r="CI28" s="197"/>
      <c r="CJ28" s="464"/>
      <c r="CK28" s="463"/>
      <c r="CL28" s="463" t="n">
        <v>115</v>
      </c>
      <c r="CM28" s="197"/>
      <c r="CN28" s="461" t="n">
        <v>500</v>
      </c>
      <c r="CO28" s="199" t="str">
        <f>SUM(CP28:CT28)</f>
      </c>
      <c r="CP28" s="463"/>
      <c r="CQ28" s="463" t="n">
        <v>181</v>
      </c>
      <c r="CR28" s="463"/>
      <c r="CS28" s="463"/>
      <c r="CT28" s="197"/>
      <c r="CU28" s="461" t="n">
        <v>500</v>
      </c>
      <c r="CV28" s="199" t="str">
        <f>SUM(CW28:DA28)</f>
      </c>
      <c r="CW28" s="192"/>
      <c r="CX28" s="463"/>
      <c r="CY28" s="463"/>
      <c r="CZ28" s="463"/>
      <c r="DA28" s="197"/>
      <c r="DB28" s="461" t="n">
        <v>500</v>
      </c>
      <c r="DC28" s="199" t="str">
        <f>SUM(DE28:DI28)</f>
      </c>
      <c r="DD28" s="192"/>
      <c r="DE28" s="192" t="n">
        <v>4493</v>
      </c>
      <c r="DF28" s="192"/>
      <c r="DG28" s="192"/>
      <c r="DH28" s="192"/>
      <c r="DI28" s="193"/>
      <c r="DJ28" s="461" t="n">
        <v>500</v>
      </c>
      <c r="DK28" s="199" t="str">
        <f>SUM(DL28:DP28)</f>
      </c>
      <c r="DL28" s="192"/>
      <c r="DM28" s="192"/>
      <c r="DN28" s="192"/>
      <c r="DO28" s="192" t="n">
        <v>109</v>
      </c>
      <c r="DP28" s="193"/>
      <c r="DQ28" s="461" t="n">
        <v>500</v>
      </c>
      <c r="DR28" s="199" t="str">
        <f>SUM(DS28:DW28)</f>
      </c>
      <c r="DS28" s="192"/>
      <c r="DT28" s="192"/>
      <c r="DU28" s="192" t="n">
        <v>128</v>
      </c>
      <c r="DV28" s="192" t="n">
        <v>0</v>
      </c>
      <c r="DW28" s="193" t="n">
        <v>0</v>
      </c>
      <c r="DX28" s="461" t="n">
        <v>500</v>
      </c>
      <c r="DY28" s="199" t="str">
        <f>SUM(DZ28:ED28)</f>
      </c>
      <c r="DZ28" s="192" t="n">
        <v>0</v>
      </c>
      <c r="EA28" s="192" t="n">
        <v>0</v>
      </c>
      <c r="EB28" s="192" t="n">
        <v>0</v>
      </c>
      <c r="EC28" s="192" t="n">
        <v>0</v>
      </c>
      <c r="ED28" s="193" t="n">
        <v>0</v>
      </c>
      <c r="EE28" s="193" t="n">
        <v>0</v>
      </c>
      <c r="EF28" s="465" t="n">
        <v>500</v>
      </c>
      <c r="EG28" s="397" t="str">
        <f>SUM(EH28:EL28)</f>
      </c>
      <c r="EH28" s="398" t="n">
        <v>101</v>
      </c>
      <c r="EI28" s="398" t="n">
        <v>0</v>
      </c>
      <c r="EJ28" s="398" t="n">
        <v>0</v>
      </c>
      <c r="EK28" s="398" t="n">
        <v>188</v>
      </c>
      <c r="EL28" s="399" t="n">
        <v>0</v>
      </c>
      <c r="EM28" s="465" t="n">
        <v>500</v>
      </c>
      <c r="EN28" s="397" t="str">
        <f>SUM(EO28:ES28)</f>
      </c>
      <c r="EO28" s="398" t="n">
        <v>0</v>
      </c>
      <c r="EP28" s="398" t="n">
        <v>0</v>
      </c>
      <c r="EQ28" s="398" t="n">
        <v>0</v>
      </c>
      <c r="ER28" s="398" t="n">
        <v>0</v>
      </c>
      <c r="ES28" s="399" t="n">
        <v>100</v>
      </c>
      <c r="ET28" s="465" t="n">
        <v>500</v>
      </c>
      <c r="EU28" s="199" t="str">
        <f>SUM(EV28:EY28)</f>
      </c>
      <c r="EV28" s="466"/>
      <c r="EW28" s="193"/>
      <c r="EX28" s="292" t="n">
        <v>0</v>
      </c>
      <c r="EY28" s="467" t="n">
        <v>0</v>
      </c>
      <c r="EZ28" s="465" t="n">
        <v>500</v>
      </c>
      <c r="FA28" s="397" t="str">
        <f>SUM(FB28:FE28)</f>
      </c>
      <c r="FB28" s="398" t="n">
        <v>123</v>
      </c>
      <c r="FC28" s="398" t="s">
        <v>208</v>
      </c>
      <c r="FD28" s="398" t="s">
        <v>208</v>
      </c>
      <c r="FE28" s="398" t="s">
        <v>208</v>
      </c>
      <c r="FF28" s="398" t="s">
        <v>208</v>
      </c>
      <c r="FG28" s="425" t="n">
        <v>500</v>
      </c>
      <c r="FH28" s="427" t="str">
        <f>SUM(FI28:FL28)</f>
      </c>
      <c r="FI28" s="398" t="n">
        <v>146</v>
      </c>
      <c r="FJ28" s="398" t="s">
        <v>208</v>
      </c>
      <c r="FK28" s="398" t="s">
        <v>208</v>
      </c>
      <c r="FL28" s="398" t="s">
        <v>208</v>
      </c>
      <c r="FM28" s="425" t="n">
        <v>500</v>
      </c>
      <c r="FN28" s="427"/>
      <c r="FO28" s="398" t="n">
        <v>236</v>
      </c>
      <c r="FP28" s="398" t="s">
        <v>208</v>
      </c>
      <c r="FQ28" s="398" t="s">
        <v>208</v>
      </c>
      <c r="FR28" s="398"/>
      <c r="FS28" s="421" t="n">
        <v>500</v>
      </c>
      <c r="FT28" s="427" t="n">
        <v>214</v>
      </c>
      <c r="FU28" s="398"/>
      <c r="FV28" s="398" t="s">
        <v>208</v>
      </c>
      <c r="FW28" s="398" t="s">
        <v>208</v>
      </c>
      <c r="FX28" s="398" t="s">
        <v>208</v>
      </c>
      <c r="FY28" s="398" t="s">
        <v>208</v>
      </c>
      <c r="FZ28" s="425" t="n">
        <v>500</v>
      </c>
      <c r="GA28" s="427" t="str">
        <f>GE28</f>
      </c>
      <c r="GB28" s="398" t="n">
        <v>275</v>
      </c>
      <c r="GC28" s="398" t="s">
        <v>208</v>
      </c>
      <c r="GD28" s="398" t="s">
        <v>208</v>
      </c>
      <c r="GE28" s="398" t="n">
        <v>214</v>
      </c>
      <c r="GF28" s="405"/>
      <c r="GG28" s="405"/>
      <c r="GH28" s="405"/>
      <c r="GI28" s="405"/>
      <c r="GJ28" s="405"/>
      <c r="GK28" s="405"/>
      <c r="GL28" s="405"/>
      <c r="GM28" s="405"/>
      <c r="GN28" s="405"/>
      <c r="GO28" s="405"/>
      <c r="GP28" s="405"/>
      <c r="GQ28" s="405"/>
    </row>
    <row r="29" ht="15.75">
      <c r="A29" s="373" t="s">
        <v>229</v>
      </c>
      <c r="B29" s="468" t="n">
        <v>52842.44</v>
      </c>
      <c r="C29" s="469" t="str">
        <f>SUM(D29:H29)</f>
      </c>
      <c r="D29" s="470" t="n">
        <v>64669.28</v>
      </c>
      <c r="E29" s="470" t="n">
        <v>0</v>
      </c>
      <c r="F29" s="470" t="n">
        <v>0</v>
      </c>
      <c r="G29" s="470" t="n">
        <v>25705.89</v>
      </c>
      <c r="H29" s="470" t="n">
        <v>0</v>
      </c>
      <c r="I29" s="471"/>
      <c r="J29" s="468" t="n">
        <v>50000</v>
      </c>
      <c r="K29" s="469" t="str">
        <f>SUM(L29:P29)</f>
      </c>
      <c r="L29" s="470" t="n">
        <v>0</v>
      </c>
      <c r="M29" s="470" t="n">
        <v>228051.38</v>
      </c>
      <c r="N29" s="470" t="n">
        <v>12851.6</v>
      </c>
      <c r="O29" s="470"/>
      <c r="P29" s="470"/>
      <c r="Q29" s="472" t="n">
        <v>50000</v>
      </c>
      <c r="R29" s="473" t="str">
        <f>SUM(S29:X29)</f>
      </c>
      <c r="S29" s="474"/>
      <c r="T29" s="475"/>
      <c r="U29" s="475"/>
      <c r="V29" s="476" t="n">
        <v>55736</v>
      </c>
      <c r="W29" s="475"/>
      <c r="X29" s="477"/>
      <c r="Y29" s="478" t="n">
        <v>50000</v>
      </c>
      <c r="Z29" s="454" t="str">
        <f>SUM(AA29:AE29)</f>
      </c>
      <c r="AA29" s="479"/>
      <c r="AB29" s="475" t="n">
        <v>4271</v>
      </c>
      <c r="AC29" s="475"/>
      <c r="AD29" s="475"/>
      <c r="AE29" s="480"/>
      <c r="AF29" s="481" t="n">
        <v>50000</v>
      </c>
      <c r="AG29" s="454" t="str">
        <f>SUM(AH29:AL29)</f>
      </c>
      <c r="AH29" s="391"/>
      <c r="AI29" s="392"/>
      <c r="AJ29" s="392"/>
      <c r="AK29" s="392"/>
      <c r="AL29" s="393"/>
      <c r="AM29" s="478" t="n">
        <v>50000</v>
      </c>
      <c r="AN29" s="454" t="str">
        <f>SUM(AO29:AS29)</f>
      </c>
      <c r="AO29" s="482"/>
      <c r="AP29" s="483"/>
      <c r="AQ29" s="483"/>
      <c r="AR29" s="483"/>
      <c r="AS29" s="197"/>
      <c r="AT29" s="484" t="n">
        <v>50000</v>
      </c>
      <c r="AU29" s="454" t="str">
        <f>SUM(AV29:AZ29)</f>
      </c>
      <c r="AV29" s="482" t="n">
        <v>98063.15</v>
      </c>
      <c r="AW29" s="483"/>
      <c r="AX29" s="483"/>
      <c r="AY29" s="483" t="n">
        <v>47804</v>
      </c>
      <c r="AZ29" s="197"/>
      <c r="BA29" s="197"/>
      <c r="BB29" s="484" t="n">
        <v>50000</v>
      </c>
      <c r="BC29" s="462" t="str">
        <f>SUM(BD29:BH29)</f>
      </c>
      <c r="BD29" s="483"/>
      <c r="BE29" s="483"/>
      <c r="BF29" s="483"/>
      <c r="BG29" s="483"/>
      <c r="BH29" s="197"/>
      <c r="BI29" s="197"/>
      <c r="BJ29" s="478" t="n">
        <v>50000</v>
      </c>
      <c r="BK29" s="462" t="str">
        <f>SUM(BL29:BP29)</f>
      </c>
      <c r="BL29" s="483"/>
      <c r="BM29" s="485" t="n">
        <v>74123</v>
      </c>
      <c r="BN29" s="485"/>
      <c r="BO29" s="485" t="n">
        <v>0</v>
      </c>
      <c r="BP29" s="197" t="n">
        <v>10132.85</v>
      </c>
      <c r="BQ29" s="484" t="n">
        <v>50000</v>
      </c>
      <c r="BR29" s="462" t="str">
        <f>SUM(BS29:BW29)</f>
      </c>
      <c r="BS29" s="483" t="n">
        <v>21658</v>
      </c>
      <c r="BT29" s="485"/>
      <c r="BU29" s="485"/>
      <c r="BV29" s="485" t="n">
        <v>17483.37</v>
      </c>
      <c r="BW29" s="197" t="n">
        <v>7735</v>
      </c>
      <c r="BX29" s="113" t="str">
        <f>BW29+CA29</f>
      </c>
      <c r="BY29" s="484" t="n">
        <v>50000</v>
      </c>
      <c r="BZ29" s="462" t="str">
        <f>SUM(CA29:CE29)</f>
      </c>
      <c r="CA29" s="483"/>
      <c r="CB29" s="485"/>
      <c r="CC29" s="485"/>
      <c r="CD29" s="486"/>
      <c r="CE29" s="483"/>
      <c r="CF29" s="487" t="n">
        <v>50000</v>
      </c>
      <c r="CG29" s="462" t="str">
        <f>SUM(CH29:CM29)</f>
      </c>
      <c r="CH29" s="483"/>
      <c r="CI29" s="483"/>
      <c r="CJ29" s="486"/>
      <c r="CK29" s="485"/>
      <c r="CL29" s="485" t="n">
        <v>76758.75</v>
      </c>
      <c r="CM29" s="483"/>
      <c r="CN29" s="487"/>
      <c r="CO29" s="115" t="str">
        <f>SUM(CP29:CT29)</f>
      </c>
      <c r="CP29" s="486" t="n">
        <v>3813.75</v>
      </c>
      <c r="CQ29" s="485" t="n">
        <v>23182.25</v>
      </c>
      <c r="CR29" s="485"/>
      <c r="CS29" s="117"/>
      <c r="CT29" s="483"/>
      <c r="CU29" s="488"/>
      <c r="CV29" s="115" t="str">
        <f>SUM(CW29:DA29)</f>
      </c>
      <c r="CW29" s="117"/>
      <c r="CX29" s="485" t="n">
        <v>10366</v>
      </c>
      <c r="CY29" s="485"/>
      <c r="CZ29" s="117" t="n">
        <v>12828</v>
      </c>
      <c r="DA29" s="483" t="n">
        <v>7938</v>
      </c>
      <c r="DB29" s="488"/>
      <c r="DC29" s="115" t="str">
        <f>SUM(DE29:DI29)</f>
      </c>
      <c r="DD29" s="117"/>
      <c r="DE29" s="117" t="n">
        <v>0</v>
      </c>
      <c r="DF29" s="117"/>
      <c r="DG29" s="117"/>
      <c r="DH29" s="117" t="n">
        <v>33602.7</v>
      </c>
      <c r="DI29" s="122"/>
      <c r="DJ29" s="488"/>
      <c r="DK29" s="115" t="str">
        <f>SUM(DL29:DP29)</f>
      </c>
      <c r="DL29" s="117"/>
      <c r="DM29" s="117" t="n">
        <v>32979.25</v>
      </c>
      <c r="DN29" s="117" t="n">
        <v>30514.7</v>
      </c>
      <c r="DO29" s="117" t="n">
        <v>49145.25</v>
      </c>
      <c r="DP29" s="122" t="n">
        <v>0</v>
      </c>
      <c r="DQ29" s="488"/>
      <c r="DR29" s="115" t="str">
        <f>SUM(DS29:DW29)</f>
      </c>
      <c r="DS29" s="117" t="n">
        <v>0</v>
      </c>
      <c r="DT29" s="117" t="n">
        <v>14294.5</v>
      </c>
      <c r="DU29" s="117" t="n">
        <v>7878.93</v>
      </c>
      <c r="DV29" s="117" t="n">
        <v>0</v>
      </c>
      <c r="DW29" s="122" t="n">
        <v>0</v>
      </c>
      <c r="DX29" s="488"/>
      <c r="DY29" s="115" t="str">
        <f>SUM(DZ29:ED29)</f>
      </c>
      <c r="DZ29" s="117" t="n">
        <v>0</v>
      </c>
      <c r="EA29" s="117" t="n">
        <v>21667.75</v>
      </c>
      <c r="EB29" s="117" t="n">
        <v>0</v>
      </c>
      <c r="EC29" s="117" t="n">
        <v>71958.4</v>
      </c>
      <c r="ED29" s="122" t="n">
        <v>0</v>
      </c>
      <c r="EE29" s="122" t="n">
        <v>0</v>
      </c>
      <c r="EF29" s="489"/>
      <c r="EG29" s="397"/>
      <c r="EH29" s="398"/>
      <c r="EI29" s="398"/>
      <c r="EJ29" s="398"/>
      <c r="EK29" s="398"/>
      <c r="EL29" s="399"/>
      <c r="EM29" s="489"/>
      <c r="EN29" s="397"/>
      <c r="EO29" s="398"/>
      <c r="EP29" s="398"/>
      <c r="EQ29" s="398"/>
      <c r="ER29" s="398"/>
      <c r="ES29" s="399"/>
      <c r="ET29" s="489"/>
      <c r="EU29" s="397"/>
      <c r="EV29" s="490"/>
      <c r="EW29" s="440"/>
      <c r="EX29" s="392"/>
      <c r="EY29" s="491"/>
      <c r="EZ29" s="489"/>
      <c r="FA29" s="397"/>
      <c r="FB29" s="398"/>
      <c r="FC29" s="398"/>
      <c r="FD29" s="398"/>
      <c r="FE29" s="398"/>
      <c r="FF29" s="398"/>
      <c r="FG29" s="390"/>
      <c r="FH29" s="427"/>
      <c r="FI29" s="398"/>
      <c r="FJ29" s="398"/>
      <c r="FK29" s="398"/>
      <c r="FL29" s="398"/>
      <c r="FM29" s="390"/>
      <c r="FN29" s="427"/>
      <c r="FO29" s="398"/>
      <c r="FP29" s="398"/>
      <c r="FQ29" s="398"/>
      <c r="FR29" s="398"/>
      <c r="FS29" s="387"/>
      <c r="FT29" s="427"/>
      <c r="FU29" s="398"/>
      <c r="FV29" s="398"/>
      <c r="FW29" s="398"/>
      <c r="FX29" s="398"/>
      <c r="FY29" s="398"/>
      <c r="FZ29" s="390"/>
      <c r="GA29" s="427"/>
      <c r="GB29" s="398"/>
      <c r="GC29" s="398"/>
      <c r="GD29" s="398"/>
      <c r="GE29" s="398"/>
      <c r="GF29" s="405"/>
      <c r="GG29" s="405"/>
      <c r="GH29" s="405"/>
      <c r="GI29" s="405"/>
      <c r="GJ29" s="405"/>
      <c r="GK29" s="405"/>
      <c r="GL29" s="405"/>
      <c r="GM29" s="405"/>
      <c r="GN29" s="405"/>
      <c r="GO29" s="405"/>
      <c r="GP29" s="405"/>
      <c r="GQ29" s="405"/>
    </row>
    <row r="30" ht="15.75">
      <c r="A30" s="373" t="s">
        <v>230</v>
      </c>
      <c r="B30" s="492" t="n">
        <v>650</v>
      </c>
      <c r="C30" s="263" t="str">
        <f>SUM(D30:H30)</f>
      </c>
      <c r="D30" s="430"/>
      <c r="E30" s="430"/>
      <c r="F30" s="430"/>
      <c r="G30" s="430"/>
      <c r="H30" s="430"/>
      <c r="I30" s="493"/>
      <c r="J30" s="492" t="n">
        <v>650</v>
      </c>
      <c r="K30" s="263" t="str">
        <f>SUM(L30:P30)</f>
      </c>
      <c r="L30" s="430"/>
      <c r="M30" s="430"/>
      <c r="N30" s="430"/>
      <c r="O30" s="430"/>
      <c r="P30" s="430"/>
      <c r="Q30" s="492" t="n">
        <v>650</v>
      </c>
      <c r="R30" s="263" t="str">
        <f>SUM(S30:X30)</f>
      </c>
      <c r="S30" s="494"/>
      <c r="T30" s="430"/>
      <c r="U30" s="430"/>
      <c r="V30" s="430"/>
      <c r="W30" s="430"/>
      <c r="X30" s="495"/>
      <c r="Y30" s="496" t="n">
        <v>650</v>
      </c>
      <c r="Z30" s="454" t="str">
        <f>SUM(AA30:AE30)</f>
      </c>
      <c r="AA30" s="497"/>
      <c r="AB30" s="430" t="n">
        <v>626</v>
      </c>
      <c r="AC30" s="430"/>
      <c r="AD30" s="430"/>
      <c r="AE30" s="493"/>
      <c r="AF30" s="498" t="n">
        <v>650</v>
      </c>
      <c r="AG30" s="454" t="str">
        <f>SUM(AH30:AL30)</f>
      </c>
      <c r="AH30" s="391"/>
      <c r="AI30" s="392"/>
      <c r="AJ30" s="392"/>
      <c r="AK30" s="392"/>
      <c r="AL30" s="393"/>
      <c r="AM30" s="496" t="n">
        <v>650</v>
      </c>
      <c r="AN30" s="454" t="str">
        <f>SUM(AO30:AS30)</f>
      </c>
      <c r="AO30" s="499"/>
      <c r="AP30" s="500"/>
      <c r="AQ30" s="500"/>
      <c r="AR30" s="500"/>
      <c r="AS30" s="500"/>
      <c r="AT30" s="488" t="n">
        <v>650</v>
      </c>
      <c r="AU30" s="454" t="str">
        <f>SUM(AV30:AZ30)</f>
      </c>
      <c r="AV30" s="499" t="n">
        <v>813</v>
      </c>
      <c r="AW30" s="500"/>
      <c r="AX30" s="500"/>
      <c r="AY30" s="500" t="n">
        <v>1521</v>
      </c>
      <c r="AZ30" s="500"/>
      <c r="BA30" s="500"/>
      <c r="BB30" s="488" t="n">
        <v>650</v>
      </c>
      <c r="BC30" s="462" t="str">
        <f>SUM(BD30:BH30)</f>
      </c>
      <c r="BD30" s="500"/>
      <c r="BE30" s="500"/>
      <c r="BF30" s="500" t="n">
        <v>1441</v>
      </c>
      <c r="BG30" s="500"/>
      <c r="BH30" s="500"/>
      <c r="BI30" s="500"/>
      <c r="BJ30" s="496" t="n">
        <v>650</v>
      </c>
      <c r="BK30" s="462" t="str">
        <f>SUM(BL30:BP30)</f>
      </c>
      <c r="BL30" s="500"/>
      <c r="BM30" s="501" t="n">
        <v>1612</v>
      </c>
      <c r="BN30" s="501"/>
      <c r="BO30" s="501"/>
      <c r="BP30" s="500"/>
      <c r="BQ30" s="488" t="n">
        <v>650</v>
      </c>
      <c r="BR30" s="462" t="str">
        <f>SUM(BS30:BW30)</f>
      </c>
      <c r="BS30" s="500"/>
      <c r="BT30" s="501"/>
      <c r="BU30" s="501"/>
      <c r="BV30" s="501" t="n">
        <v>1462</v>
      </c>
      <c r="BW30" s="500"/>
      <c r="BX30" s="113"/>
      <c r="BY30" s="488" t="n">
        <v>650</v>
      </c>
      <c r="BZ30" s="462" t="str">
        <f>SUM(CA30:CE30)</f>
      </c>
      <c r="CA30" s="500"/>
      <c r="CB30" s="501"/>
      <c r="CC30" s="501"/>
      <c r="CD30" s="502"/>
      <c r="CE30" s="500"/>
      <c r="CF30" s="488" t="n">
        <v>650</v>
      </c>
      <c r="CG30" s="462" t="str">
        <f>SUM(CH30:CM30)</f>
      </c>
      <c r="CH30" s="500"/>
      <c r="CI30" s="500"/>
      <c r="CJ30" s="502"/>
      <c r="CK30" s="501"/>
      <c r="CL30" s="501" t="n">
        <v>359</v>
      </c>
      <c r="CM30" s="500"/>
      <c r="CN30" s="488" t="n">
        <v>650</v>
      </c>
      <c r="CO30" s="397" t="str">
        <f>SUM(CP30:CT30)</f>
      </c>
      <c r="CP30" s="502"/>
      <c r="CQ30" s="501" t="n">
        <v>780</v>
      </c>
      <c r="CR30" s="501"/>
      <c r="CS30" s="501"/>
      <c r="CT30" s="500"/>
      <c r="CU30" s="488" t="n">
        <v>650</v>
      </c>
      <c r="CV30" s="397" t="str">
        <f>SUM(CW30:DA30)</f>
      </c>
      <c r="CW30" s="398"/>
      <c r="CX30" s="501" t="n">
        <v>603</v>
      </c>
      <c r="CY30" s="501"/>
      <c r="CZ30" s="398"/>
      <c r="DA30" s="500"/>
      <c r="DB30" s="488" t="n">
        <v>650</v>
      </c>
      <c r="DC30" s="397" t="str">
        <f>SUM(DE30:DI30)</f>
      </c>
      <c r="DD30" s="398"/>
      <c r="DE30" s="398" t="n">
        <v>99</v>
      </c>
      <c r="DF30" s="398"/>
      <c r="DG30" s="398"/>
      <c r="DH30" s="398" t="n">
        <v>551</v>
      </c>
      <c r="DI30" s="440"/>
      <c r="DJ30" s="488" t="n">
        <v>650</v>
      </c>
      <c r="DK30" s="397" t="str">
        <f>SUM(DL30:DP30)</f>
      </c>
      <c r="DL30" s="398"/>
      <c r="DM30" s="398"/>
      <c r="DN30" s="398"/>
      <c r="DO30" s="398" t="n">
        <v>657</v>
      </c>
      <c r="DP30" s="440"/>
      <c r="DQ30" s="488" t="n">
        <v>650</v>
      </c>
      <c r="DR30" s="397" t="str">
        <f>SUM(DS30:DW30)</f>
      </c>
      <c r="DS30" s="398"/>
      <c r="DT30" s="398"/>
      <c r="DU30" s="398" t="n">
        <v>817</v>
      </c>
      <c r="DV30" s="398" t="n">
        <v>0</v>
      </c>
      <c r="DW30" s="440" t="n">
        <v>0</v>
      </c>
      <c r="DX30" s="488" t="n">
        <v>650</v>
      </c>
      <c r="DY30" s="397" t="str">
        <f>SUM(DZ30:ED30)</f>
      </c>
      <c r="DZ30" s="398" t="n">
        <v>0</v>
      </c>
      <c r="EA30" s="398" t="n">
        <v>0</v>
      </c>
      <c r="EB30" s="398" t="n">
        <v>0</v>
      </c>
      <c r="EC30" s="398" t="n">
        <v>0</v>
      </c>
      <c r="ED30" s="440" t="n">
        <v>0</v>
      </c>
      <c r="EE30" s="440" t="n">
        <v>0</v>
      </c>
      <c r="EF30" s="489" t="n">
        <v>650</v>
      </c>
      <c r="EG30" s="397" t="str">
        <f>SUM(EH30:EL30)</f>
      </c>
      <c r="EH30" s="398" t="n">
        <v>458</v>
      </c>
      <c r="EI30" s="398" t="n">
        <v>0</v>
      </c>
      <c r="EJ30" s="398" t="n">
        <v>40</v>
      </c>
      <c r="EK30" s="398" t="n">
        <v>572</v>
      </c>
      <c r="EL30" s="399" t="n">
        <v>0</v>
      </c>
      <c r="EM30" s="489" t="n">
        <v>650</v>
      </c>
      <c r="EN30" s="397" t="str">
        <f>SUM(EO30:ES30)</f>
      </c>
      <c r="EO30" s="398" t="n">
        <v>0</v>
      </c>
      <c r="EP30" s="398" t="n">
        <v>0</v>
      </c>
      <c r="EQ30" s="398" t="n">
        <v>0</v>
      </c>
      <c r="ER30" s="398" t="n">
        <v>0</v>
      </c>
      <c r="ES30" s="399" t="n">
        <v>633</v>
      </c>
      <c r="ET30" s="489" t="n">
        <v>650</v>
      </c>
      <c r="EU30" s="397" t="str">
        <f>SUM(EV30:EY30)</f>
      </c>
      <c r="EV30" s="490"/>
      <c r="EW30" s="440"/>
      <c r="EX30" s="392" t="n">
        <v>0</v>
      </c>
      <c r="EY30" s="491" t="n">
        <v>0</v>
      </c>
      <c r="EZ30" s="489" t="n">
        <v>650</v>
      </c>
      <c r="FA30" s="397" t="str">
        <f>SUM(FB30:FE30)</f>
      </c>
      <c r="FB30" s="398" t="n">
        <v>679</v>
      </c>
      <c r="FC30" s="398" t="s">
        <v>208</v>
      </c>
      <c r="FD30" s="398" t="s">
        <v>208</v>
      </c>
      <c r="FE30" s="398" t="s">
        <v>208</v>
      </c>
      <c r="FF30" s="398" t="s">
        <v>208</v>
      </c>
      <c r="FG30" s="390" t="n">
        <v>650</v>
      </c>
      <c r="FH30" s="427" t="str">
        <f>SUM(FI30:FL30)</f>
      </c>
      <c r="FI30" s="398" t="n">
        <v>535</v>
      </c>
      <c r="FJ30" s="398" t="s">
        <v>208</v>
      </c>
      <c r="FK30" s="398" t="s">
        <v>208</v>
      </c>
      <c r="FL30" s="398" t="s">
        <v>208</v>
      </c>
      <c r="FM30" s="390" t="n">
        <v>650</v>
      </c>
      <c r="FN30" s="427"/>
      <c r="FO30" s="398" t="n">
        <v>637</v>
      </c>
      <c r="FP30" s="398" t="s">
        <v>208</v>
      </c>
      <c r="FQ30" s="398" t="s">
        <v>208</v>
      </c>
      <c r="FR30" s="398"/>
      <c r="FS30" s="387" t="n">
        <v>650</v>
      </c>
      <c r="FT30" s="427" t="n">
        <v>623</v>
      </c>
      <c r="FU30" s="398"/>
      <c r="FV30" s="398" t="s">
        <v>208</v>
      </c>
      <c r="FW30" s="398" t="s">
        <v>208</v>
      </c>
      <c r="FX30" s="398" t="s">
        <v>208</v>
      </c>
      <c r="FY30" s="398" t="s">
        <v>208</v>
      </c>
      <c r="FZ30" s="390" t="n">
        <v>650</v>
      </c>
      <c r="GA30" s="427" t="n">
        <v>699</v>
      </c>
      <c r="GB30" s="398" t="n">
        <v>699</v>
      </c>
      <c r="GC30" s="398" t="s">
        <v>208</v>
      </c>
      <c r="GD30" s="398" t="s">
        <v>208</v>
      </c>
      <c r="GE30" s="398" t="s">
        <v>208</v>
      </c>
      <c r="GF30" s="405"/>
      <c r="GG30" s="405"/>
      <c r="GH30" s="405"/>
      <c r="GI30" s="405"/>
      <c r="GJ30" s="405"/>
      <c r="GK30" s="405"/>
      <c r="GL30" s="405"/>
      <c r="GM30" s="405"/>
      <c r="GN30" s="405"/>
      <c r="GO30" s="405"/>
      <c r="GP30" s="405"/>
      <c r="GQ30" s="405"/>
    </row>
    <row r="31" ht="15.75">
      <c r="A31" s="373" t="s">
        <v>231</v>
      </c>
      <c r="B31" s="503" t="n">
        <v>0.025</v>
      </c>
      <c r="C31" s="504"/>
      <c r="D31" s="235"/>
      <c r="E31" s="231"/>
      <c r="F31" s="231"/>
      <c r="G31" s="231"/>
      <c r="H31" s="231"/>
      <c r="I31" s="235"/>
      <c r="J31" s="503" t="n">
        <v>0.025</v>
      </c>
      <c r="K31" s="504"/>
      <c r="L31" s="505"/>
      <c r="M31" s="505"/>
      <c r="N31" s="505"/>
      <c r="O31" s="505"/>
      <c r="P31" s="505"/>
      <c r="Q31" s="503" t="n">
        <v>0.025</v>
      </c>
      <c r="R31" s="504"/>
      <c r="S31" s="506"/>
      <c r="T31" s="505"/>
      <c r="U31" s="505"/>
      <c r="V31" s="505"/>
      <c r="W31" s="505"/>
      <c r="X31" s="507"/>
      <c r="Y31" s="508" t="n">
        <v>0.025</v>
      </c>
      <c r="Z31" s="509" t="n">
        <v>0.025</v>
      </c>
      <c r="AA31" s="260"/>
      <c r="AB31" s="231" t="n">
        <v>0.0071</v>
      </c>
      <c r="AC31" s="231"/>
      <c r="AD31" s="231"/>
      <c r="AE31" s="235"/>
      <c r="AF31" s="510" t="n">
        <v>0.025</v>
      </c>
      <c r="AG31" s="509" t="str">
        <f>AVERAGE(AH31:AL31)</f>
      </c>
      <c r="AH31" s="511"/>
      <c r="AI31" s="512"/>
      <c r="AJ31" s="512"/>
      <c r="AK31" s="512"/>
      <c r="AL31" s="513"/>
      <c r="AM31" s="508" t="n">
        <v>0.025</v>
      </c>
      <c r="AN31" s="509" t="str">
        <f>AVERAGE(AO31:AS31)</f>
      </c>
      <c r="AO31" s="514"/>
      <c r="AP31" s="438"/>
      <c r="AQ31" s="438"/>
      <c r="AR31" s="515"/>
      <c r="AS31" s="438"/>
      <c r="AT31" s="516" t="n">
        <v>0.025</v>
      </c>
      <c r="AU31" s="517" t="str">
        <f>AVERAGE(AV31:AZ31)</f>
      </c>
      <c r="AV31" s="514" t="n">
        <v>0.019</v>
      </c>
      <c r="AW31" s="438"/>
      <c r="AX31" s="438"/>
      <c r="AY31" s="515" t="str">
        <f>137/13141*100</f>
      </c>
      <c r="AZ31" s="438"/>
      <c r="BA31" s="438"/>
      <c r="BB31" s="516" t="n">
        <v>0.025</v>
      </c>
      <c r="BC31" s="518" t="str">
        <f>AVERAGE(BD31:BH31)</f>
      </c>
      <c r="BD31" s="438"/>
      <c r="BE31" s="438"/>
      <c r="BF31" s="438" t="n">
        <v>0.0068</v>
      </c>
      <c r="BG31" s="438"/>
      <c r="BH31" s="438"/>
      <c r="BI31" s="438"/>
      <c r="BJ31" s="519" t="n">
        <v>0.025</v>
      </c>
      <c r="BK31" s="518" t="str">
        <f>AVERAGE(BL31:BP31)</f>
      </c>
      <c r="BL31" s="438"/>
      <c r="BM31" s="520" t="n">
        <v>0.0096</v>
      </c>
      <c r="BN31" s="520"/>
      <c r="BO31" s="520"/>
      <c r="BP31" s="438"/>
      <c r="BQ31" s="516" t="n">
        <v>0.025</v>
      </c>
      <c r="BR31" s="518" t="str">
        <f>AVERAGE(BS31:BW31)</f>
      </c>
      <c r="BS31" s="438"/>
      <c r="BT31" s="520"/>
      <c r="BU31" s="520"/>
      <c r="BV31" s="520" t="n">
        <v>0.0081</v>
      </c>
      <c r="BW31" s="438"/>
      <c r="BX31" s="521"/>
      <c r="BY31" s="516" t="n">
        <v>0.025</v>
      </c>
      <c r="BZ31" s="518" t="str">
        <f>AVERAGE(CA31:CE31)</f>
      </c>
      <c r="CA31" s="438"/>
      <c r="CB31" s="520"/>
      <c r="CC31" s="520"/>
      <c r="CD31" s="522"/>
      <c r="CE31" s="438"/>
      <c r="CF31" s="516" t="n">
        <v>0.025</v>
      </c>
      <c r="CG31" s="518" t="str">
        <f>AVERAGE(CH31:CM31)</f>
      </c>
      <c r="CH31" s="438"/>
      <c r="CI31" s="438"/>
      <c r="CJ31" s="522"/>
      <c r="CK31" s="520"/>
      <c r="CL31" s="520" t="n">
        <v>0.059</v>
      </c>
      <c r="CM31" s="438"/>
      <c r="CN31" s="516" t="n">
        <v>0.025</v>
      </c>
      <c r="CO31" s="523" t="str">
        <f>AVERAGE(CP31:CT31)</f>
      </c>
      <c r="CP31" s="522"/>
      <c r="CQ31" s="520" t="n">
        <v>0.061</v>
      </c>
      <c r="CR31" s="520"/>
      <c r="CS31" s="520"/>
      <c r="CT31" s="438"/>
      <c r="CU31" s="516" t="n">
        <v>0.025</v>
      </c>
      <c r="CV31" s="523" t="str">
        <f>AVERAGE(CW31:DA31)</f>
      </c>
      <c r="CW31" s="248"/>
      <c r="CX31" s="520" t="n">
        <v>0.006</v>
      </c>
      <c r="CY31" s="520"/>
      <c r="CZ31" s="248"/>
      <c r="DA31" s="438"/>
      <c r="DB31" s="516" t="n">
        <v>0.025</v>
      </c>
      <c r="DC31" s="523" t="str">
        <f>AVERAGE(DE31:DI31)</f>
      </c>
      <c r="DD31" s="524"/>
      <c r="DE31" s="524" t="n">
        <v>0.008</v>
      </c>
      <c r="DF31" s="524"/>
      <c r="DG31" s="524"/>
      <c r="DH31" s="248" t="n">
        <v>0.0102</v>
      </c>
      <c r="DI31" s="254"/>
      <c r="DJ31" s="516" t="n">
        <v>0.025</v>
      </c>
      <c r="DK31" s="523" t="str">
        <f>AVERAGE(DL31:DP31)</f>
      </c>
      <c r="DL31" s="524"/>
      <c r="DM31" s="524"/>
      <c r="DN31" s="524"/>
      <c r="DO31" s="248" t="n">
        <v>0.019</v>
      </c>
      <c r="DP31" s="254"/>
      <c r="DQ31" s="516" t="n">
        <v>0.025</v>
      </c>
      <c r="DR31" s="523" t="str">
        <f>AVERAGE(DS31:DW31)</f>
      </c>
      <c r="DS31" s="524"/>
      <c r="DT31" s="524"/>
      <c r="DU31" s="524" t="str">
        <f>116/DU30</f>
      </c>
      <c r="DV31" s="248"/>
      <c r="DW31" s="254"/>
      <c r="DX31" s="516" t="n">
        <v>0.025</v>
      </c>
      <c r="DY31" s="523" t="str">
        <f>AVERAGE(DZ31:ED31)</f>
      </c>
      <c r="DZ31" s="524"/>
      <c r="EA31" s="524"/>
      <c r="EB31" s="524"/>
      <c r="EC31" s="248"/>
      <c r="ED31" s="254"/>
      <c r="EE31" s="254"/>
      <c r="EF31" s="525" t="n">
        <v>0.025</v>
      </c>
      <c r="EG31" s="523" t="str">
        <f>AVERAGE(EH31:EL31)</f>
      </c>
      <c r="EH31" s="248" t="n">
        <v>0.0093</v>
      </c>
      <c r="EI31" s="398"/>
      <c r="EJ31" s="398"/>
      <c r="EK31" s="248" t="n">
        <v>0.012</v>
      </c>
      <c r="EL31" s="441"/>
      <c r="EM31" s="525" t="n">
        <v>0.025</v>
      </c>
      <c r="EN31" s="523" t="str">
        <f>AVERAGE(EO31:ES31)</f>
      </c>
      <c r="EO31" s="398"/>
      <c r="EP31" s="398"/>
      <c r="EQ31" s="398"/>
      <c r="ER31" s="398"/>
      <c r="ES31" s="441" t="n">
        <v>0.0197</v>
      </c>
      <c r="ET31" s="525" t="n">
        <v>0.025</v>
      </c>
      <c r="EU31" s="523" t="str">
        <f>SUM(EV31:EY31)</f>
      </c>
      <c r="EV31" s="526"/>
      <c r="EW31" s="245"/>
      <c r="EX31" s="392" t="n">
        <v>0</v>
      </c>
      <c r="EY31" s="491" t="n">
        <v>0</v>
      </c>
      <c r="EZ31" s="525" t="n">
        <v>0.025</v>
      </c>
      <c r="FA31" s="523" t="str">
        <f>SUM(FB31:FE31)</f>
      </c>
      <c r="FB31" s="248" t="n">
        <v>0.012</v>
      </c>
      <c r="FC31" s="398" t="s">
        <v>208</v>
      </c>
      <c r="FD31" s="398" t="s">
        <v>208</v>
      </c>
      <c r="FE31" s="398" t="s">
        <v>208</v>
      </c>
      <c r="FF31" s="398" t="s">
        <v>208</v>
      </c>
      <c r="FG31" s="527" t="n">
        <v>0.025</v>
      </c>
      <c r="FH31" s="431" t="str">
        <f>SUM(FI31:FL31)</f>
      </c>
      <c r="FI31" s="248" t="n">
        <v>0.013</v>
      </c>
      <c r="FJ31" s="398" t="s">
        <v>208</v>
      </c>
      <c r="FK31" s="398" t="s">
        <v>208</v>
      </c>
      <c r="FL31" s="398" t="s">
        <v>208</v>
      </c>
      <c r="FM31" s="527" t="n">
        <v>0.025</v>
      </c>
      <c r="FN31" s="509"/>
      <c r="FO31" s="248" t="n">
        <v>0.016</v>
      </c>
      <c r="FP31" s="398" t="s">
        <v>208</v>
      </c>
      <c r="FQ31" s="398" t="s">
        <v>208</v>
      </c>
      <c r="FR31" s="398"/>
      <c r="FS31" s="528" t="n">
        <v>0.025</v>
      </c>
      <c r="FT31" s="509" t="n">
        <v>0.018</v>
      </c>
      <c r="FU31" s="398"/>
      <c r="FV31" s="398" t="s">
        <v>208</v>
      </c>
      <c r="FW31" s="398" t="s">
        <v>208</v>
      </c>
      <c r="FX31" s="398" t="s">
        <v>208</v>
      </c>
      <c r="FY31" s="398" t="s">
        <v>208</v>
      </c>
      <c r="FZ31" s="527" t="n">
        <v>0.025</v>
      </c>
      <c r="GA31" s="509" t="n">
        <v>0.023</v>
      </c>
      <c r="GB31" s="398" t="n">
        <v>2.3</v>
      </c>
      <c r="GC31" s="398" t="s">
        <v>208</v>
      </c>
      <c r="GD31" s="398" t="s">
        <v>208</v>
      </c>
      <c r="GE31" s="398" t="s">
        <v>208</v>
      </c>
      <c r="GF31" s="405"/>
      <c r="GG31" s="405"/>
      <c r="GH31" s="405"/>
      <c r="GI31" s="405"/>
      <c r="GJ31" s="405"/>
      <c r="GK31" s="405"/>
      <c r="GL31" s="405"/>
      <c r="GM31" s="405"/>
      <c r="GN31" s="405"/>
      <c r="GO31" s="405"/>
      <c r="GP31" s="405"/>
      <c r="GQ31" s="405"/>
    </row>
    <row r="32" ht="15.75">
      <c r="A32" s="529" t="s">
        <v>232</v>
      </c>
      <c r="B32" s="530"/>
      <c r="C32" s="530"/>
      <c r="D32" s="530"/>
      <c r="E32" s="530"/>
      <c r="F32" s="530"/>
      <c r="G32" s="530"/>
      <c r="H32" s="530"/>
      <c r="I32" s="530"/>
      <c r="J32" s="530"/>
      <c r="K32" s="531"/>
      <c r="L32" s="532"/>
      <c r="M32" s="532"/>
      <c r="N32" s="532"/>
      <c r="O32" s="532"/>
      <c r="P32" s="532"/>
      <c r="Q32" s="533"/>
      <c r="R32" s="533"/>
      <c r="S32" s="90"/>
      <c r="T32" s="90"/>
      <c r="U32" s="90"/>
      <c r="V32" s="90"/>
      <c r="W32" s="90"/>
      <c r="X32" s="90"/>
      <c r="Y32" s="533"/>
      <c r="Z32" s="533"/>
      <c r="AA32" s="531"/>
      <c r="AB32" s="531"/>
      <c r="AC32" s="531"/>
      <c r="AD32" s="531"/>
      <c r="AE32" s="531"/>
      <c r="AF32" s="533"/>
      <c r="AG32" s="533"/>
      <c r="AH32" s="533"/>
      <c r="AI32" s="533"/>
      <c r="AJ32" s="533"/>
      <c r="AK32" s="533"/>
      <c r="AL32" s="533"/>
      <c r="AM32" s="534"/>
      <c r="AN32" s="534"/>
      <c r="AO32" s="534"/>
      <c r="AP32" s="534"/>
      <c r="AQ32" s="534"/>
      <c r="AR32" s="534"/>
      <c r="AS32" s="534"/>
      <c r="AT32" s="534"/>
      <c r="AU32" s="534"/>
      <c r="AV32" s="534"/>
      <c r="AW32" s="534"/>
      <c r="AX32" s="534"/>
      <c r="AY32" s="534"/>
      <c r="AZ32" s="534"/>
      <c r="BA32" s="534"/>
      <c r="BB32" s="534"/>
      <c r="BC32" s="534"/>
      <c r="BD32" s="534"/>
      <c r="BE32" s="534"/>
      <c r="BF32" s="534"/>
      <c r="BG32" s="534"/>
      <c r="BH32" s="534"/>
      <c r="BI32" s="534"/>
      <c r="BJ32" s="534"/>
      <c r="BK32" s="534"/>
      <c r="BL32" s="534"/>
      <c r="BM32" s="534"/>
      <c r="BN32" s="534"/>
      <c r="BO32" s="534"/>
      <c r="BP32" s="534"/>
      <c r="BQ32" s="534"/>
      <c r="BR32" s="534"/>
      <c r="BS32" s="534"/>
      <c r="BT32" s="534"/>
      <c r="BU32" s="534"/>
      <c r="BV32" s="534"/>
      <c r="BW32" s="534"/>
      <c r="BX32" s="534"/>
      <c r="BY32" s="534"/>
      <c r="BZ32" s="534"/>
      <c r="CA32" s="534"/>
      <c r="CB32" s="534"/>
      <c r="CC32" s="534"/>
      <c r="CD32" s="534"/>
      <c r="CE32" s="534"/>
      <c r="CF32" s="534"/>
      <c r="CG32" s="534"/>
      <c r="CH32" s="534"/>
      <c r="CI32" s="534"/>
      <c r="CJ32" s="534"/>
      <c r="CK32" s="534"/>
      <c r="CL32" s="534"/>
      <c r="CM32" s="534"/>
      <c r="CN32" s="534"/>
      <c r="CO32" s="534"/>
      <c r="CP32" s="534"/>
      <c r="CQ32" s="534"/>
      <c r="CR32" s="534"/>
      <c r="CS32" s="534"/>
      <c r="CT32" s="534"/>
      <c r="CU32" s="534"/>
      <c r="CV32" s="534"/>
      <c r="CW32" s="534"/>
      <c r="CX32" s="534"/>
      <c r="CY32" s="534"/>
      <c r="CZ32" s="534"/>
      <c r="DA32" s="534"/>
      <c r="DB32" s="534"/>
      <c r="DC32" s="534"/>
      <c r="DD32" s="534"/>
      <c r="DE32" s="534"/>
      <c r="DF32" s="534"/>
      <c r="DG32" s="534"/>
      <c r="DH32" s="534"/>
      <c r="DI32" s="534"/>
      <c r="DJ32" s="534"/>
      <c r="DK32" s="534"/>
      <c r="DL32" s="534"/>
      <c r="DM32" s="534"/>
      <c r="DN32" s="534"/>
      <c r="DO32" s="534"/>
      <c r="DP32" s="534"/>
      <c r="DQ32" s="534"/>
      <c r="DR32" s="534"/>
      <c r="DS32" s="534"/>
      <c r="DT32" s="534"/>
      <c r="DU32" s="534"/>
      <c r="DV32" s="534"/>
      <c r="DW32" s="534"/>
      <c r="DX32" s="534"/>
      <c r="DY32" s="534"/>
      <c r="DZ32" s="535"/>
      <c r="EA32" s="535"/>
      <c r="EB32" s="535"/>
      <c r="EC32" s="535"/>
      <c r="ED32" s="536"/>
      <c r="EE32" s="536"/>
      <c r="EF32" s="537"/>
      <c r="EG32" s="537"/>
      <c r="EH32" s="538"/>
      <c r="EI32" s="538"/>
      <c r="EJ32" s="538"/>
      <c r="EK32" s="538"/>
      <c r="EL32" s="538"/>
      <c r="EM32" s="537"/>
      <c r="EN32" s="537"/>
      <c r="EO32" s="538"/>
      <c r="EP32" s="538"/>
      <c r="EQ32" s="538"/>
      <c r="ER32" s="538"/>
      <c r="ES32" s="538"/>
      <c r="ET32" s="539"/>
      <c r="EU32" s="540"/>
      <c r="EV32" s="541"/>
      <c r="EW32" s="542"/>
      <c r="EX32" s="543"/>
      <c r="EY32" s="544"/>
      <c r="EZ32" s="537"/>
      <c r="FA32" s="537"/>
      <c r="FB32" s="538"/>
      <c r="FC32" s="538"/>
      <c r="FD32" s="538"/>
      <c r="FE32" s="538"/>
      <c r="FF32" s="538"/>
      <c r="FG32" s="545"/>
      <c r="FH32" s="545"/>
      <c r="FI32" s="538"/>
      <c r="FJ32" s="538"/>
      <c r="FK32" s="538"/>
      <c r="FL32" s="538"/>
      <c r="FM32" s="545"/>
      <c r="FN32" s="545"/>
      <c r="FO32" s="538"/>
      <c r="FP32" s="538"/>
      <c r="FQ32" s="538"/>
      <c r="FR32" s="538"/>
      <c r="FS32" s="545"/>
      <c r="FT32" s="545"/>
      <c r="FU32" s="538"/>
      <c r="FV32" s="538"/>
      <c r="FW32" s="538"/>
      <c r="FX32" s="538"/>
      <c r="FY32" s="538"/>
      <c r="FZ32" s="545"/>
      <c r="GA32" s="545"/>
      <c r="GB32" s="538"/>
      <c r="GC32" s="538"/>
      <c r="GD32" s="538"/>
      <c r="GE32" s="538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</row>
    <row r="33" ht="15.75">
      <c r="A33" s="546" t="s">
        <v>233</v>
      </c>
      <c r="B33" s="7"/>
      <c r="C33" s="7"/>
      <c r="D33" s="7"/>
      <c r="E33" s="7"/>
      <c r="F33" s="7"/>
      <c r="G33" s="7"/>
      <c r="H33" s="7"/>
      <c r="I33" s="7"/>
      <c r="J33" s="7"/>
      <c r="K33" s="389"/>
      <c r="L33" s="389"/>
      <c r="M33" s="389"/>
      <c r="N33" s="389"/>
      <c r="O33" s="389"/>
      <c r="P33" s="389"/>
      <c r="Q33" s="546"/>
      <c r="R33" s="546"/>
      <c r="S33" s="7"/>
      <c r="T33" s="7"/>
      <c r="U33" s="7"/>
      <c r="V33" s="7"/>
      <c r="W33" s="7"/>
      <c r="X33" s="7"/>
      <c r="Y33" s="546"/>
      <c r="Z33" s="546"/>
      <c r="AA33" s="389"/>
      <c r="AB33" s="389"/>
      <c r="AC33" s="389"/>
      <c r="AD33" s="389"/>
      <c r="AE33" s="389"/>
      <c r="AF33" s="546"/>
      <c r="AG33" s="546"/>
      <c r="AH33" s="546"/>
      <c r="AI33" s="546"/>
      <c r="AJ33" s="546"/>
      <c r="AK33" s="546"/>
      <c r="AL33" s="546"/>
      <c r="AM33" s="547"/>
      <c r="AN33" s="547"/>
      <c r="AO33" s="547"/>
      <c r="AP33" s="547"/>
      <c r="AQ33" s="547"/>
      <c r="AR33" s="547"/>
      <c r="AS33" s="547"/>
      <c r="AT33" s="547"/>
      <c r="AU33" s="547"/>
      <c r="AV33" s="547"/>
      <c r="AW33" s="547"/>
      <c r="AX33" s="547"/>
      <c r="AY33" s="547"/>
      <c r="AZ33" s="547"/>
      <c r="BA33" s="547"/>
      <c r="BB33" s="547"/>
      <c r="BC33" s="547"/>
      <c r="BD33" s="547"/>
      <c r="BE33" s="547"/>
      <c r="BF33" s="547"/>
      <c r="BG33" s="547"/>
      <c r="BH33" s="547"/>
      <c r="BI33" s="547"/>
      <c r="BJ33" s="547"/>
      <c r="BK33" s="547"/>
      <c r="BL33" s="547"/>
      <c r="BM33" s="547"/>
      <c r="BN33" s="547"/>
      <c r="BO33" s="547"/>
      <c r="BP33" s="547"/>
      <c r="BQ33" s="547"/>
      <c r="BR33" s="547"/>
      <c r="BS33" s="547"/>
      <c r="BT33" s="547"/>
      <c r="BU33" s="547"/>
      <c r="BV33" s="547"/>
      <c r="BW33" s="547"/>
      <c r="BX33" s="547"/>
      <c r="BY33" s="547"/>
      <c r="BZ33" s="547"/>
      <c r="CA33" s="547"/>
      <c r="CB33" s="547"/>
      <c r="CC33" s="547"/>
      <c r="CD33" s="547"/>
      <c r="CE33" s="547"/>
      <c r="CF33" s="547"/>
      <c r="CG33" s="547"/>
      <c r="CH33" s="547"/>
      <c r="CI33" s="547"/>
      <c r="CJ33" s="547"/>
      <c r="CK33" s="547"/>
      <c r="CL33" s="547"/>
      <c r="CM33" s="547"/>
      <c r="CN33" s="547"/>
      <c r="CO33" s="547"/>
      <c r="CP33" s="547"/>
      <c r="CQ33" s="547"/>
      <c r="CR33" s="547"/>
      <c r="CS33" s="547"/>
      <c r="CT33" s="547"/>
      <c r="CU33" s="547"/>
      <c r="CV33" s="547"/>
      <c r="CW33" s="547"/>
      <c r="CX33" s="547"/>
      <c r="CY33" s="547"/>
      <c r="CZ33" s="547"/>
      <c r="DA33" s="547"/>
      <c r="DB33" s="547"/>
      <c r="DC33" s="547"/>
      <c r="DD33" s="547"/>
      <c r="DE33" s="547"/>
      <c r="DF33" s="547"/>
      <c r="DG33" s="547"/>
      <c r="DH33" s="547"/>
      <c r="DI33" s="547"/>
      <c r="DJ33" s="548"/>
      <c r="DK33" s="549"/>
      <c r="DL33" s="547"/>
      <c r="DM33" s="547"/>
      <c r="DN33" s="547"/>
      <c r="DO33" s="547"/>
      <c r="DP33" s="547"/>
      <c r="DQ33" s="548"/>
      <c r="DR33" s="549"/>
      <c r="DS33" s="547"/>
      <c r="DT33" s="547"/>
      <c r="DU33" s="547"/>
      <c r="DV33" s="547"/>
      <c r="DW33" s="547"/>
      <c r="DX33" s="548"/>
      <c r="DY33" s="549"/>
      <c r="DZ33" s="550"/>
      <c r="EA33" s="551"/>
      <c r="EB33" s="551"/>
      <c r="EC33" s="551"/>
      <c r="ED33" s="551"/>
      <c r="EE33" s="552"/>
      <c r="EF33" s="553"/>
      <c r="EG33" s="554"/>
      <c r="EH33" s="555"/>
      <c r="EI33" s="556"/>
      <c r="EJ33" s="556"/>
      <c r="EK33" s="556"/>
      <c r="EL33" s="557"/>
      <c r="EM33" s="553"/>
      <c r="EN33" s="554"/>
      <c r="EO33" s="555"/>
      <c r="EP33" s="556"/>
      <c r="EQ33" s="556"/>
      <c r="ER33" s="556"/>
      <c r="ES33" s="557" t="n">
        <v>1</v>
      </c>
      <c r="ET33" s="553"/>
      <c r="EU33" s="554"/>
      <c r="EV33" s="555"/>
      <c r="EW33" s="556"/>
      <c r="EX33" s="556"/>
      <c r="EY33" s="557"/>
      <c r="EZ33" s="553" t="n">
        <v>4</v>
      </c>
      <c r="FA33" s="558"/>
      <c r="FB33" s="559"/>
      <c r="FC33" s="559"/>
      <c r="FD33" s="560"/>
      <c r="FE33" s="560"/>
      <c r="FF33" s="560"/>
      <c r="FG33" s="496" t="n">
        <v>4</v>
      </c>
      <c r="FH33" s="561"/>
      <c r="FI33" s="559"/>
      <c r="FJ33" s="559"/>
      <c r="FK33" s="560"/>
      <c r="FL33" s="560"/>
      <c r="FM33" s="496" t="n">
        <v>4</v>
      </c>
      <c r="FN33" s="561"/>
      <c r="FO33" s="559"/>
      <c r="FP33" s="559"/>
      <c r="FQ33" s="560"/>
      <c r="FR33" s="560"/>
      <c r="FS33" s="496" t="n">
        <v>4</v>
      </c>
      <c r="FT33" s="561"/>
      <c r="FU33" s="559"/>
      <c r="FV33" s="559"/>
      <c r="FW33" s="560"/>
      <c r="FX33" s="560"/>
      <c r="FY33" s="560"/>
      <c r="FZ33" s="496" t="n">
        <v>4</v>
      </c>
      <c r="GA33" s="561"/>
      <c r="GB33" s="559"/>
      <c r="GC33" s="559"/>
      <c r="GD33" s="560"/>
      <c r="GE33" s="560"/>
      <c r="GF33" s="405"/>
      <c r="GG33" s="405"/>
      <c r="GH33" s="405"/>
      <c r="GI33" s="405"/>
      <c r="GJ33" s="405"/>
      <c r="GK33" s="405"/>
      <c r="GL33" s="405"/>
      <c r="GM33" s="405"/>
      <c r="GN33" s="405"/>
      <c r="GO33" s="405"/>
      <c r="GP33" s="405"/>
      <c r="GQ33" s="405"/>
    </row>
    <row r="34" ht="15.75">
      <c r="A34" s="546" t="s">
        <v>234</v>
      </c>
      <c r="B34" s="7"/>
      <c r="C34" s="7"/>
      <c r="D34" s="7"/>
      <c r="E34" s="7"/>
      <c r="F34" s="7"/>
      <c r="G34" s="7"/>
      <c r="H34" s="7"/>
      <c r="I34" s="7"/>
      <c r="J34" s="7"/>
      <c r="K34" s="389"/>
      <c r="L34" s="389"/>
      <c r="M34" s="389"/>
      <c r="N34" s="389"/>
      <c r="O34" s="389"/>
      <c r="P34" s="389"/>
      <c r="Q34" s="546"/>
      <c r="R34" s="546"/>
      <c r="S34" s="7"/>
      <c r="T34" s="7"/>
      <c r="U34" s="7"/>
      <c r="V34" s="7"/>
      <c r="W34" s="7"/>
      <c r="X34" s="7"/>
      <c r="Y34" s="546"/>
      <c r="Z34" s="546"/>
      <c r="AA34" s="389"/>
      <c r="AB34" s="389"/>
      <c r="AC34" s="389"/>
      <c r="AD34" s="389"/>
      <c r="AE34" s="389"/>
      <c r="AF34" s="546"/>
      <c r="AG34" s="546"/>
      <c r="AH34" s="546"/>
      <c r="AI34" s="546"/>
      <c r="AJ34" s="546"/>
      <c r="AK34" s="546"/>
      <c r="AL34" s="546"/>
      <c r="AM34" s="547"/>
      <c r="AN34" s="547"/>
      <c r="AO34" s="547"/>
      <c r="AP34" s="547"/>
      <c r="AQ34" s="547"/>
      <c r="AR34" s="547"/>
      <c r="AS34" s="547"/>
      <c r="AT34" s="547"/>
      <c r="AU34" s="547"/>
      <c r="AV34" s="547"/>
      <c r="AW34" s="547"/>
      <c r="AX34" s="547"/>
      <c r="AY34" s="547"/>
      <c r="AZ34" s="547"/>
      <c r="BA34" s="547"/>
      <c r="BB34" s="547"/>
      <c r="BC34" s="547"/>
      <c r="BD34" s="547"/>
      <c r="BE34" s="547"/>
      <c r="BF34" s="547"/>
      <c r="BG34" s="547"/>
      <c r="BH34" s="547"/>
      <c r="BI34" s="547"/>
      <c r="BJ34" s="547"/>
      <c r="BK34" s="547"/>
      <c r="BL34" s="547"/>
      <c r="BM34" s="547"/>
      <c r="BN34" s="547"/>
      <c r="BO34" s="547"/>
      <c r="BP34" s="547"/>
      <c r="BQ34" s="547"/>
      <c r="BR34" s="547"/>
      <c r="BS34" s="547"/>
      <c r="BT34" s="547"/>
      <c r="BU34" s="547"/>
      <c r="BV34" s="547"/>
      <c r="BW34" s="547"/>
      <c r="BX34" s="547"/>
      <c r="BY34" s="547"/>
      <c r="BZ34" s="547"/>
      <c r="CA34" s="547"/>
      <c r="CB34" s="547"/>
      <c r="CC34" s="547"/>
      <c r="CD34" s="547"/>
      <c r="CE34" s="547"/>
      <c r="CF34" s="547"/>
      <c r="CG34" s="547"/>
      <c r="CH34" s="547"/>
      <c r="CI34" s="547"/>
      <c r="CJ34" s="547"/>
      <c r="CK34" s="547"/>
      <c r="CL34" s="547"/>
      <c r="CM34" s="547"/>
      <c r="CN34" s="547"/>
      <c r="CO34" s="547"/>
      <c r="CP34" s="547"/>
      <c r="CQ34" s="547"/>
      <c r="CR34" s="547"/>
      <c r="CS34" s="547"/>
      <c r="CT34" s="547"/>
      <c r="CU34" s="547"/>
      <c r="CV34" s="547"/>
      <c r="CW34" s="547"/>
      <c r="CX34" s="547"/>
      <c r="CY34" s="547"/>
      <c r="CZ34" s="547"/>
      <c r="DA34" s="547"/>
      <c r="DB34" s="547"/>
      <c r="DC34" s="547"/>
      <c r="DD34" s="547"/>
      <c r="DE34" s="547"/>
      <c r="DF34" s="547"/>
      <c r="DG34" s="547"/>
      <c r="DH34" s="547"/>
      <c r="DI34" s="547"/>
      <c r="DJ34" s="487"/>
      <c r="DK34" s="562"/>
      <c r="DL34" s="547"/>
      <c r="DM34" s="547"/>
      <c r="DN34" s="547"/>
      <c r="DO34" s="547"/>
      <c r="DP34" s="547"/>
      <c r="DQ34" s="487"/>
      <c r="DR34" s="562"/>
      <c r="DS34" s="547"/>
      <c r="DT34" s="547"/>
      <c r="DU34" s="547"/>
      <c r="DV34" s="547"/>
      <c r="DW34" s="547"/>
      <c r="DX34" s="563"/>
      <c r="DY34" s="564"/>
      <c r="DZ34" s="550"/>
      <c r="EA34" s="551"/>
      <c r="EB34" s="551"/>
      <c r="EC34" s="551"/>
      <c r="ED34" s="551"/>
      <c r="EE34" s="565"/>
      <c r="EF34" s="566"/>
      <c r="EG34" s="567"/>
      <c r="EH34" s="555"/>
      <c r="EI34" s="556"/>
      <c r="EJ34" s="556"/>
      <c r="EK34" s="556"/>
      <c r="EL34" s="557"/>
      <c r="EM34" s="566"/>
      <c r="EN34" s="567"/>
      <c r="EO34" s="555"/>
      <c r="EP34" s="556"/>
      <c r="EQ34" s="556"/>
      <c r="ER34" s="556"/>
      <c r="ES34" s="557"/>
      <c r="ET34" s="566"/>
      <c r="EU34" s="567"/>
      <c r="EV34" s="555"/>
      <c r="EW34" s="556"/>
      <c r="EX34" s="556"/>
      <c r="EY34" s="557"/>
      <c r="EZ34" s="488" t="n">
        <v>1</v>
      </c>
      <c r="FA34" s="568"/>
      <c r="FB34" s="559"/>
      <c r="FC34" s="559"/>
      <c r="FD34" s="560"/>
      <c r="FE34" s="560"/>
      <c r="FF34" s="560"/>
      <c r="FG34" s="496" t="n">
        <v>1</v>
      </c>
      <c r="FH34" s="561"/>
      <c r="FI34" s="559"/>
      <c r="FJ34" s="559"/>
      <c r="FK34" s="560"/>
      <c r="FL34" s="560"/>
      <c r="FM34" s="496" t="n">
        <v>1</v>
      </c>
      <c r="FN34" s="561"/>
      <c r="FO34" s="559"/>
      <c r="FP34" s="559"/>
      <c r="FQ34" s="560"/>
      <c r="FR34" s="560"/>
      <c r="FS34" s="496" t="n">
        <v>1</v>
      </c>
      <c r="FT34" s="561"/>
      <c r="FU34" s="559"/>
      <c r="FV34" s="559"/>
      <c r="FW34" s="560"/>
      <c r="FX34" s="560"/>
      <c r="FY34" s="560"/>
      <c r="FZ34" s="496" t="n">
        <v>1</v>
      </c>
      <c r="GA34" s="561"/>
      <c r="GB34" s="559"/>
      <c r="GC34" s="559"/>
      <c r="GD34" s="560"/>
      <c r="GE34" s="560"/>
      <c r="GF34" s="405"/>
      <c r="GG34" s="405"/>
      <c r="GH34" s="405"/>
      <c r="GI34" s="405"/>
      <c r="GJ34" s="405"/>
      <c r="GK34" s="405"/>
      <c r="GL34" s="405"/>
      <c r="GM34" s="405"/>
      <c r="GN34" s="405"/>
      <c r="GO34" s="405"/>
      <c r="GP34" s="405"/>
      <c r="GQ34" s="405"/>
    </row>
    <row r="35" ht="15.75">
      <c r="A35" s="546" t="s">
        <v>235</v>
      </c>
      <c r="B35" s="7"/>
      <c r="C35" s="7"/>
      <c r="D35" s="7"/>
      <c r="E35" s="7"/>
      <c r="F35" s="7"/>
      <c r="G35" s="7"/>
      <c r="H35" s="7"/>
      <c r="I35" s="7"/>
      <c r="J35" s="7"/>
      <c r="K35" s="389"/>
      <c r="L35" s="389"/>
      <c r="M35" s="389"/>
      <c r="N35" s="389"/>
      <c r="O35" s="389"/>
      <c r="P35" s="389"/>
      <c r="Q35" s="546"/>
      <c r="R35" s="546"/>
      <c r="S35" s="7"/>
      <c r="T35" s="7"/>
      <c r="U35" s="7"/>
      <c r="V35" s="7"/>
      <c r="W35" s="7"/>
      <c r="X35" s="7"/>
      <c r="Y35" s="546"/>
      <c r="Z35" s="546"/>
      <c r="AA35" s="389"/>
      <c r="AB35" s="389"/>
      <c r="AC35" s="389"/>
      <c r="AD35" s="389"/>
      <c r="AE35" s="389"/>
      <c r="AF35" s="546"/>
      <c r="AG35" s="546"/>
      <c r="AH35" s="546"/>
      <c r="AI35" s="546"/>
      <c r="AJ35" s="546"/>
      <c r="AK35" s="546"/>
      <c r="AL35" s="546"/>
      <c r="AM35" s="547"/>
      <c r="AN35" s="547"/>
      <c r="AO35" s="547"/>
      <c r="AP35" s="547"/>
      <c r="AQ35" s="547"/>
      <c r="AR35" s="547"/>
      <c r="AS35" s="547"/>
      <c r="AT35" s="547"/>
      <c r="AU35" s="547"/>
      <c r="AV35" s="547"/>
      <c r="AW35" s="547"/>
      <c r="AX35" s="547"/>
      <c r="AY35" s="547"/>
      <c r="AZ35" s="547"/>
      <c r="BA35" s="547"/>
      <c r="BB35" s="547"/>
      <c r="BC35" s="547"/>
      <c r="BD35" s="547"/>
      <c r="BE35" s="547"/>
      <c r="BF35" s="547"/>
      <c r="BG35" s="547"/>
      <c r="BH35" s="547"/>
      <c r="BI35" s="547"/>
      <c r="BJ35" s="547"/>
      <c r="BK35" s="547"/>
      <c r="BL35" s="547"/>
      <c r="BM35" s="547"/>
      <c r="BN35" s="547"/>
      <c r="BO35" s="547"/>
      <c r="BP35" s="547"/>
      <c r="BQ35" s="547"/>
      <c r="BR35" s="547"/>
      <c r="BS35" s="547"/>
      <c r="BT35" s="547"/>
      <c r="BU35" s="547"/>
      <c r="BV35" s="547"/>
      <c r="BW35" s="547"/>
      <c r="BX35" s="547"/>
      <c r="BY35" s="547"/>
      <c r="BZ35" s="547"/>
      <c r="CA35" s="547"/>
      <c r="CB35" s="547"/>
      <c r="CC35" s="547"/>
      <c r="CD35" s="547"/>
      <c r="CE35" s="547"/>
      <c r="CF35" s="547"/>
      <c r="CG35" s="547"/>
      <c r="CH35" s="547"/>
      <c r="CI35" s="547"/>
      <c r="CJ35" s="547"/>
      <c r="CK35" s="547"/>
      <c r="CL35" s="547"/>
      <c r="CM35" s="547"/>
      <c r="CN35" s="547"/>
      <c r="CO35" s="547"/>
      <c r="CP35" s="547"/>
      <c r="CQ35" s="547"/>
      <c r="CR35" s="547"/>
      <c r="CS35" s="547"/>
      <c r="CT35" s="547"/>
      <c r="CU35" s="547"/>
      <c r="CV35" s="547"/>
      <c r="CW35" s="547"/>
      <c r="CX35" s="547"/>
      <c r="CY35" s="547"/>
      <c r="CZ35" s="547"/>
      <c r="DA35" s="547"/>
      <c r="DB35" s="547"/>
      <c r="DC35" s="547"/>
      <c r="DD35" s="547"/>
      <c r="DE35" s="547"/>
      <c r="DF35" s="547"/>
      <c r="DG35" s="547"/>
      <c r="DH35" s="547"/>
      <c r="DI35" s="547"/>
      <c r="DJ35" s="487"/>
      <c r="DK35" s="562"/>
      <c r="DL35" s="547"/>
      <c r="DM35" s="547"/>
      <c r="DN35" s="547"/>
      <c r="DO35" s="547"/>
      <c r="DP35" s="547"/>
      <c r="DQ35" s="487"/>
      <c r="DR35" s="562"/>
      <c r="DS35" s="547"/>
      <c r="DT35" s="547"/>
      <c r="DU35" s="547"/>
      <c r="DV35" s="547"/>
      <c r="DW35" s="547"/>
      <c r="DX35" s="563"/>
      <c r="DY35" s="564"/>
      <c r="DZ35" s="550"/>
      <c r="EA35" s="551"/>
      <c r="EB35" s="551"/>
      <c r="EC35" s="551"/>
      <c r="ED35" s="551"/>
      <c r="EE35" s="565"/>
      <c r="EF35" s="566"/>
      <c r="EG35" s="567"/>
      <c r="EH35" s="555"/>
      <c r="EI35" s="556"/>
      <c r="EJ35" s="556"/>
      <c r="EK35" s="556"/>
      <c r="EL35" s="557"/>
      <c r="EM35" s="566"/>
      <c r="EN35" s="567"/>
      <c r="EO35" s="555"/>
      <c r="EP35" s="556"/>
      <c r="EQ35" s="556"/>
      <c r="ER35" s="556"/>
      <c r="ES35" s="557"/>
      <c r="ET35" s="566"/>
      <c r="EU35" s="567"/>
      <c r="EV35" s="555"/>
      <c r="EW35" s="556"/>
      <c r="EX35" s="556"/>
      <c r="EY35" s="557"/>
      <c r="EZ35" s="488" t="n">
        <v>3</v>
      </c>
      <c r="FA35" s="568"/>
      <c r="FB35" s="559"/>
      <c r="FC35" s="559"/>
      <c r="FD35" s="560"/>
      <c r="FE35" s="560"/>
      <c r="FF35" s="560"/>
      <c r="FG35" s="496" t="n">
        <v>3</v>
      </c>
      <c r="FH35" s="561"/>
      <c r="FI35" s="559"/>
      <c r="FJ35" s="559"/>
      <c r="FK35" s="560"/>
      <c r="FL35" s="560"/>
      <c r="FM35" s="496" t="n">
        <v>3</v>
      </c>
      <c r="FN35" s="561"/>
      <c r="FO35" s="559"/>
      <c r="FP35" s="559"/>
      <c r="FQ35" s="560"/>
      <c r="FR35" s="560"/>
      <c r="FS35" s="496" t="n">
        <v>3</v>
      </c>
      <c r="FT35" s="561"/>
      <c r="FU35" s="559"/>
      <c r="FV35" s="559"/>
      <c r="FW35" s="560"/>
      <c r="FX35" s="560"/>
      <c r="FY35" s="560"/>
      <c r="FZ35" s="496" t="n">
        <v>3</v>
      </c>
      <c r="GA35" s="561"/>
      <c r="GB35" s="559"/>
      <c r="GC35" s="559"/>
      <c r="GD35" s="560"/>
      <c r="GE35" s="560"/>
      <c r="GF35" s="405"/>
      <c r="GG35" s="405"/>
      <c r="GH35" s="405"/>
      <c r="GI35" s="405"/>
      <c r="GJ35" s="405"/>
      <c r="GK35" s="405"/>
      <c r="GL35" s="405"/>
      <c r="GM35" s="405"/>
      <c r="GN35" s="405"/>
      <c r="GO35" s="405"/>
      <c r="GP35" s="405"/>
      <c r="GQ35" s="405"/>
    </row>
    <row r="36" ht="15.75">
      <c r="A36" s="546" t="s">
        <v>236</v>
      </c>
      <c r="B36" s="7"/>
      <c r="C36" s="7"/>
      <c r="D36" s="7"/>
      <c r="E36" s="7"/>
      <c r="F36" s="7"/>
      <c r="G36" s="7"/>
      <c r="H36" s="7"/>
      <c r="I36" s="7"/>
      <c r="J36" s="7"/>
      <c r="K36" s="389"/>
      <c r="L36" s="389"/>
      <c r="M36" s="389"/>
      <c r="N36" s="389"/>
      <c r="O36" s="389"/>
      <c r="P36" s="389"/>
      <c r="Q36" s="546"/>
      <c r="R36" s="546"/>
      <c r="S36" s="7"/>
      <c r="T36" s="7"/>
      <c r="U36" s="7"/>
      <c r="V36" s="7"/>
      <c r="W36" s="7"/>
      <c r="X36" s="7"/>
      <c r="Y36" s="546"/>
      <c r="Z36" s="546"/>
      <c r="AA36" s="389"/>
      <c r="AB36" s="389"/>
      <c r="AC36" s="389"/>
      <c r="AD36" s="389"/>
      <c r="AE36" s="389"/>
      <c r="AF36" s="546"/>
      <c r="AG36" s="546"/>
      <c r="AH36" s="546"/>
      <c r="AI36" s="546"/>
      <c r="AJ36" s="546"/>
      <c r="AK36" s="546"/>
      <c r="AL36" s="546"/>
      <c r="AM36" s="547"/>
      <c r="AN36" s="547"/>
      <c r="AO36" s="547"/>
      <c r="AP36" s="547"/>
      <c r="AQ36" s="547"/>
      <c r="AR36" s="547"/>
      <c r="AS36" s="547"/>
      <c r="AT36" s="547"/>
      <c r="AU36" s="547"/>
      <c r="AV36" s="547"/>
      <c r="AW36" s="547"/>
      <c r="AX36" s="547"/>
      <c r="AY36" s="547"/>
      <c r="AZ36" s="547"/>
      <c r="BA36" s="547"/>
      <c r="BB36" s="547"/>
      <c r="BC36" s="547"/>
      <c r="BD36" s="547"/>
      <c r="BE36" s="547"/>
      <c r="BF36" s="547"/>
      <c r="BG36" s="547"/>
      <c r="BH36" s="547"/>
      <c r="BI36" s="547"/>
      <c r="BJ36" s="547"/>
      <c r="BK36" s="547"/>
      <c r="BL36" s="547"/>
      <c r="BM36" s="547"/>
      <c r="BN36" s="547"/>
      <c r="BO36" s="547"/>
      <c r="BP36" s="547"/>
      <c r="BQ36" s="547"/>
      <c r="BR36" s="547"/>
      <c r="BS36" s="547"/>
      <c r="BT36" s="547"/>
      <c r="BU36" s="547"/>
      <c r="BV36" s="547"/>
      <c r="BW36" s="547"/>
      <c r="BX36" s="547"/>
      <c r="BY36" s="547"/>
      <c r="BZ36" s="547"/>
      <c r="CA36" s="547"/>
      <c r="CB36" s="547"/>
      <c r="CC36" s="547"/>
      <c r="CD36" s="547"/>
      <c r="CE36" s="547"/>
      <c r="CF36" s="547"/>
      <c r="CG36" s="547"/>
      <c r="CH36" s="547"/>
      <c r="CI36" s="547"/>
      <c r="CJ36" s="547"/>
      <c r="CK36" s="547"/>
      <c r="CL36" s="547"/>
      <c r="CM36" s="547"/>
      <c r="CN36" s="547"/>
      <c r="CO36" s="547"/>
      <c r="CP36" s="547"/>
      <c r="CQ36" s="547"/>
      <c r="CR36" s="547"/>
      <c r="CS36" s="547"/>
      <c r="CT36" s="547"/>
      <c r="CU36" s="547"/>
      <c r="CV36" s="547"/>
      <c r="CW36" s="547"/>
      <c r="CX36" s="547"/>
      <c r="CY36" s="547"/>
      <c r="CZ36" s="547"/>
      <c r="DA36" s="547"/>
      <c r="DB36" s="547"/>
      <c r="DC36" s="547"/>
      <c r="DD36" s="547"/>
      <c r="DE36" s="547"/>
      <c r="DF36" s="547"/>
      <c r="DG36" s="547"/>
      <c r="DH36" s="547"/>
      <c r="DI36" s="547"/>
      <c r="DJ36" s="487"/>
      <c r="DK36" s="562"/>
      <c r="DL36" s="547"/>
      <c r="DM36" s="547"/>
      <c r="DN36" s="547"/>
      <c r="DO36" s="547"/>
      <c r="DP36" s="547"/>
      <c r="DQ36" s="487"/>
      <c r="DR36" s="562"/>
      <c r="DS36" s="547"/>
      <c r="DT36" s="547"/>
      <c r="DU36" s="547"/>
      <c r="DV36" s="547"/>
      <c r="DW36" s="547"/>
      <c r="DX36" s="563"/>
      <c r="DY36" s="564"/>
      <c r="DZ36" s="550"/>
      <c r="EA36" s="551"/>
      <c r="EB36" s="551"/>
      <c r="EC36" s="551"/>
      <c r="ED36" s="551"/>
      <c r="EE36" s="565"/>
      <c r="EF36" s="566"/>
      <c r="EG36" s="567"/>
      <c r="EH36" s="555"/>
      <c r="EI36" s="556"/>
      <c r="EJ36" s="556"/>
      <c r="EK36" s="556"/>
      <c r="EL36" s="557"/>
      <c r="EM36" s="566"/>
      <c r="EN36" s="567"/>
      <c r="EO36" s="555"/>
      <c r="EP36" s="556"/>
      <c r="EQ36" s="556"/>
      <c r="ER36" s="556"/>
      <c r="ES36" s="557"/>
      <c r="ET36" s="566"/>
      <c r="EU36" s="567"/>
      <c r="EV36" s="555"/>
      <c r="EW36" s="556" t="n">
        <v>0</v>
      </c>
      <c r="EX36" s="556"/>
      <c r="EY36" s="557"/>
      <c r="EZ36" s="488" t="n">
        <v>0</v>
      </c>
      <c r="FA36" s="568"/>
      <c r="FB36" s="559"/>
      <c r="FC36" s="559"/>
      <c r="FD36" s="560"/>
      <c r="FE36" s="560"/>
      <c r="FF36" s="560"/>
      <c r="FG36" s="496" t="n">
        <v>0</v>
      </c>
      <c r="FH36" s="561"/>
      <c r="FI36" s="559"/>
      <c r="FJ36" s="559"/>
      <c r="FK36" s="560"/>
      <c r="FL36" s="560"/>
      <c r="FM36" s="496" t="n">
        <v>0</v>
      </c>
      <c r="FN36" s="561"/>
      <c r="FO36" s="559"/>
      <c r="FP36" s="559"/>
      <c r="FQ36" s="560"/>
      <c r="FR36" s="560"/>
      <c r="FS36" s="496" t="n">
        <v>0</v>
      </c>
      <c r="FT36" s="561"/>
      <c r="FU36" s="559"/>
      <c r="FV36" s="559"/>
      <c r="FW36" s="560"/>
      <c r="FX36" s="560"/>
      <c r="FY36" s="560"/>
      <c r="FZ36" s="496" t="n">
        <v>0</v>
      </c>
      <c r="GA36" s="561"/>
      <c r="GB36" s="559"/>
      <c r="GC36" s="559"/>
      <c r="GD36" s="560"/>
      <c r="GE36" s="560"/>
      <c r="GF36" s="405"/>
      <c r="GG36" s="405"/>
      <c r="GH36" s="405"/>
      <c r="GI36" s="405"/>
      <c r="GJ36" s="405"/>
      <c r="GK36" s="405"/>
      <c r="GL36" s="405"/>
      <c r="GM36" s="405"/>
      <c r="GN36" s="405"/>
      <c r="GO36" s="405"/>
      <c r="GP36" s="405"/>
      <c r="GQ36" s="405"/>
    </row>
    <row r="37" ht="15.75">
      <c r="A37" s="546" t="s">
        <v>237</v>
      </c>
      <c r="B37" s="7"/>
      <c r="C37" s="7"/>
      <c r="D37" s="7"/>
      <c r="E37" s="7"/>
      <c r="F37" s="7"/>
      <c r="G37" s="7"/>
      <c r="H37" s="7"/>
      <c r="I37" s="7"/>
      <c r="J37" s="7"/>
      <c r="K37" s="389"/>
      <c r="L37" s="389"/>
      <c r="M37" s="389"/>
      <c r="N37" s="389"/>
      <c r="O37" s="389"/>
      <c r="P37" s="389"/>
      <c r="Q37" s="546"/>
      <c r="R37" s="546"/>
      <c r="S37" s="7"/>
      <c r="T37" s="7"/>
      <c r="U37" s="7"/>
      <c r="V37" s="7"/>
      <c r="W37" s="7"/>
      <c r="X37" s="7"/>
      <c r="Y37" s="546"/>
      <c r="Z37" s="546"/>
      <c r="AA37" s="389"/>
      <c r="AB37" s="389"/>
      <c r="AC37" s="389"/>
      <c r="AD37" s="389"/>
      <c r="AE37" s="389"/>
      <c r="AF37" s="546"/>
      <c r="AG37" s="546"/>
      <c r="AH37" s="546"/>
      <c r="AI37" s="546"/>
      <c r="AJ37" s="546"/>
      <c r="AK37" s="546"/>
      <c r="AL37" s="546"/>
      <c r="AM37" s="547"/>
      <c r="AN37" s="547"/>
      <c r="AO37" s="547"/>
      <c r="AP37" s="547"/>
      <c r="AQ37" s="547"/>
      <c r="AR37" s="547"/>
      <c r="AS37" s="547"/>
      <c r="AT37" s="547"/>
      <c r="AU37" s="547"/>
      <c r="AV37" s="547"/>
      <c r="AW37" s="547"/>
      <c r="AX37" s="547"/>
      <c r="AY37" s="547"/>
      <c r="AZ37" s="547"/>
      <c r="BA37" s="547"/>
      <c r="BB37" s="547"/>
      <c r="BC37" s="547"/>
      <c r="BD37" s="547"/>
      <c r="BE37" s="547"/>
      <c r="BF37" s="547"/>
      <c r="BG37" s="547"/>
      <c r="BH37" s="547"/>
      <c r="BI37" s="547"/>
      <c r="BJ37" s="547"/>
      <c r="BK37" s="547"/>
      <c r="BL37" s="547"/>
      <c r="BM37" s="547"/>
      <c r="BN37" s="547"/>
      <c r="BO37" s="547"/>
      <c r="BP37" s="547"/>
      <c r="BQ37" s="547"/>
      <c r="BR37" s="547"/>
      <c r="BS37" s="547"/>
      <c r="BT37" s="547"/>
      <c r="BU37" s="547"/>
      <c r="BV37" s="547"/>
      <c r="BW37" s="547"/>
      <c r="BX37" s="547"/>
      <c r="BY37" s="547"/>
      <c r="BZ37" s="547"/>
      <c r="CA37" s="547"/>
      <c r="CB37" s="547"/>
      <c r="CC37" s="547"/>
      <c r="CD37" s="547"/>
      <c r="CE37" s="547"/>
      <c r="CF37" s="547"/>
      <c r="CG37" s="547"/>
      <c r="CH37" s="547"/>
      <c r="CI37" s="547"/>
      <c r="CJ37" s="547"/>
      <c r="CK37" s="547"/>
      <c r="CL37" s="547"/>
      <c r="CM37" s="547"/>
      <c r="CN37" s="547"/>
      <c r="CO37" s="547"/>
      <c r="CP37" s="547"/>
      <c r="CQ37" s="547"/>
      <c r="CR37" s="547"/>
      <c r="CS37" s="547"/>
      <c r="CT37" s="547"/>
      <c r="CU37" s="547"/>
      <c r="CV37" s="547"/>
      <c r="CW37" s="547"/>
      <c r="CX37" s="547"/>
      <c r="CY37" s="547"/>
      <c r="CZ37" s="547"/>
      <c r="DA37" s="547"/>
      <c r="DB37" s="547"/>
      <c r="DC37" s="547"/>
      <c r="DD37" s="547"/>
      <c r="DE37" s="547"/>
      <c r="DF37" s="547"/>
      <c r="DG37" s="547"/>
      <c r="DH37" s="547"/>
      <c r="DI37" s="547"/>
      <c r="DJ37" s="487"/>
      <c r="DK37" s="562"/>
      <c r="DL37" s="547"/>
      <c r="DM37" s="547"/>
      <c r="DN37" s="547"/>
      <c r="DO37" s="547"/>
      <c r="DP37" s="547"/>
      <c r="DQ37" s="487"/>
      <c r="DR37" s="562"/>
      <c r="DS37" s="547"/>
      <c r="DT37" s="547"/>
      <c r="DU37" s="547"/>
      <c r="DV37" s="547"/>
      <c r="DW37" s="547"/>
      <c r="DX37" s="563"/>
      <c r="DY37" s="564"/>
      <c r="DZ37" s="550"/>
      <c r="EA37" s="551"/>
      <c r="EB37" s="551"/>
      <c r="EC37" s="551"/>
      <c r="ED37" s="551"/>
      <c r="EE37" s="565"/>
      <c r="EF37" s="566"/>
      <c r="EG37" s="567"/>
      <c r="EH37" s="555"/>
      <c r="EI37" s="556"/>
      <c r="EJ37" s="556"/>
      <c r="EK37" s="556"/>
      <c r="EL37" s="557"/>
      <c r="EM37" s="566"/>
      <c r="EN37" s="567"/>
      <c r="EO37" s="555"/>
      <c r="EP37" s="556"/>
      <c r="EQ37" s="556"/>
      <c r="ER37" s="556"/>
      <c r="ES37" s="557"/>
      <c r="ET37" s="566"/>
      <c r="EU37" s="567"/>
      <c r="EV37" s="555"/>
      <c r="EW37" s="556"/>
      <c r="EX37" s="556"/>
      <c r="EY37" s="557"/>
      <c r="EZ37" s="488" t="n">
        <v>4</v>
      </c>
      <c r="FA37" s="568"/>
      <c r="FB37" s="559"/>
      <c r="FC37" s="560"/>
      <c r="FD37" s="560"/>
      <c r="FE37" s="560"/>
      <c r="FF37" s="560"/>
      <c r="FG37" s="496" t="n">
        <v>4</v>
      </c>
      <c r="FH37" s="561"/>
      <c r="FI37" s="559"/>
      <c r="FJ37" s="560"/>
      <c r="FK37" s="560"/>
      <c r="FL37" s="560"/>
      <c r="FM37" s="496" t="n">
        <v>4</v>
      </c>
      <c r="FN37" s="561"/>
      <c r="FO37" s="559"/>
      <c r="FP37" s="560"/>
      <c r="FQ37" s="560"/>
      <c r="FR37" s="560"/>
      <c r="FS37" s="496" t="n">
        <v>4</v>
      </c>
      <c r="FT37" s="561"/>
      <c r="FU37" s="559"/>
      <c r="FV37" s="560"/>
      <c r="FW37" s="560"/>
      <c r="FX37" s="560"/>
      <c r="FY37" s="560"/>
      <c r="FZ37" s="496" t="n">
        <v>4</v>
      </c>
      <c r="GA37" s="561"/>
      <c r="GB37" s="559"/>
      <c r="GC37" s="560"/>
      <c r="GD37" s="560"/>
      <c r="GE37" s="560"/>
      <c r="GF37" s="405"/>
      <c r="GG37" s="405"/>
      <c r="GH37" s="405"/>
      <c r="GI37" s="405"/>
      <c r="GJ37" s="405"/>
      <c r="GK37" s="405"/>
      <c r="GL37" s="405"/>
      <c r="GM37" s="405"/>
      <c r="GN37" s="405"/>
      <c r="GO37" s="405"/>
      <c r="GP37" s="405"/>
      <c r="GQ37" s="405"/>
    </row>
    <row r="38" ht="15.75">
      <c r="A38" s="569" t="s">
        <v>238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1"/>
      <c r="L38" s="571"/>
      <c r="M38" s="571"/>
      <c r="N38" s="571"/>
      <c r="O38" s="571"/>
      <c r="P38" s="571"/>
      <c r="Q38" s="569"/>
      <c r="R38" s="569"/>
      <c r="S38" s="570"/>
      <c r="T38" s="570"/>
      <c r="U38" s="570"/>
      <c r="V38" s="570"/>
      <c r="W38" s="570"/>
      <c r="X38" s="570"/>
      <c r="Y38" s="569"/>
      <c r="Z38" s="569"/>
      <c r="AA38" s="571"/>
      <c r="AB38" s="571"/>
      <c r="AC38" s="571"/>
      <c r="AD38" s="571"/>
      <c r="AE38" s="571"/>
      <c r="AF38" s="569"/>
      <c r="AG38" s="569"/>
      <c r="AH38" s="569"/>
      <c r="AI38" s="569"/>
      <c r="AJ38" s="569"/>
      <c r="AK38" s="569"/>
      <c r="AL38" s="569"/>
      <c r="AM38" s="547"/>
      <c r="AN38" s="547"/>
      <c r="AO38" s="547"/>
      <c r="AP38" s="547"/>
      <c r="AQ38" s="547"/>
      <c r="AR38" s="547"/>
      <c r="AS38" s="547"/>
      <c r="AT38" s="547"/>
      <c r="AU38" s="547"/>
      <c r="AV38" s="547"/>
      <c r="AW38" s="547"/>
      <c r="AX38" s="547"/>
      <c r="AY38" s="547"/>
      <c r="AZ38" s="547"/>
      <c r="BA38" s="547"/>
      <c r="BB38" s="547"/>
      <c r="BC38" s="547"/>
      <c r="BD38" s="547"/>
      <c r="BE38" s="547"/>
      <c r="BF38" s="547"/>
      <c r="BG38" s="547"/>
      <c r="BH38" s="547"/>
      <c r="BI38" s="547"/>
      <c r="BJ38" s="547"/>
      <c r="BK38" s="547"/>
      <c r="BL38" s="547"/>
      <c r="BM38" s="547"/>
      <c r="BN38" s="547"/>
      <c r="BO38" s="547"/>
      <c r="BP38" s="547"/>
      <c r="BQ38" s="547"/>
      <c r="BR38" s="547"/>
      <c r="BS38" s="547"/>
      <c r="BT38" s="547"/>
      <c r="BU38" s="547"/>
      <c r="BV38" s="547"/>
      <c r="BW38" s="547"/>
      <c r="BX38" s="547"/>
      <c r="BY38" s="547"/>
      <c r="BZ38" s="547"/>
      <c r="CA38" s="547"/>
      <c r="CB38" s="547"/>
      <c r="CC38" s="547"/>
      <c r="CD38" s="547"/>
      <c r="CE38" s="547"/>
      <c r="CF38" s="547"/>
      <c r="CG38" s="547"/>
      <c r="CH38" s="547"/>
      <c r="CI38" s="547"/>
      <c r="CJ38" s="547"/>
      <c r="CK38" s="547"/>
      <c r="CL38" s="547"/>
      <c r="CM38" s="547"/>
      <c r="CN38" s="547"/>
      <c r="CO38" s="547"/>
      <c r="CP38" s="547"/>
      <c r="CQ38" s="547"/>
      <c r="CR38" s="547"/>
      <c r="CS38" s="547"/>
      <c r="CT38" s="547"/>
      <c r="CU38" s="547"/>
      <c r="CV38" s="547"/>
      <c r="CW38" s="547"/>
      <c r="CX38" s="547"/>
      <c r="CY38" s="547"/>
      <c r="CZ38" s="547"/>
      <c r="DA38" s="547"/>
      <c r="DB38" s="547"/>
      <c r="DC38" s="547"/>
      <c r="DD38" s="547"/>
      <c r="DE38" s="547"/>
      <c r="DF38" s="547"/>
      <c r="DG38" s="547"/>
      <c r="DH38" s="547"/>
      <c r="DI38" s="547"/>
      <c r="DJ38" s="487"/>
      <c r="DK38" s="562"/>
      <c r="DL38" s="547"/>
      <c r="DM38" s="547"/>
      <c r="DN38" s="547"/>
      <c r="DO38" s="547"/>
      <c r="DP38" s="547"/>
      <c r="DQ38" s="487"/>
      <c r="DR38" s="572"/>
      <c r="DS38" s="547"/>
      <c r="DT38" s="547"/>
      <c r="DU38" s="547"/>
      <c r="DV38" s="547"/>
      <c r="DW38" s="547"/>
      <c r="DX38" s="563"/>
      <c r="DY38" s="564"/>
      <c r="DZ38" s="550"/>
      <c r="EA38" s="551"/>
      <c r="EB38" s="551"/>
      <c r="EC38" s="551"/>
      <c r="ED38" s="551"/>
      <c r="EE38" s="565"/>
      <c r="EF38" s="566"/>
      <c r="EG38" s="567"/>
      <c r="EH38" s="555"/>
      <c r="EI38" s="556"/>
      <c r="EJ38" s="556"/>
      <c r="EK38" s="556"/>
      <c r="EL38" s="557"/>
      <c r="EM38" s="566"/>
      <c r="EN38" s="567"/>
      <c r="EO38" s="555"/>
      <c r="EP38" s="556"/>
      <c r="EQ38" s="556"/>
      <c r="ER38" s="556"/>
      <c r="ES38" s="557"/>
      <c r="ET38" s="566"/>
      <c r="EU38" s="567"/>
      <c r="EV38" s="555"/>
      <c r="EW38" s="556"/>
      <c r="EX38" s="556"/>
      <c r="EY38" s="557"/>
      <c r="EZ38" s="488"/>
      <c r="FA38" s="568"/>
      <c r="FB38" s="559"/>
      <c r="FC38" s="560"/>
      <c r="FD38" s="560"/>
      <c r="FE38" s="560"/>
      <c r="FF38" s="560"/>
      <c r="FG38" s="496"/>
      <c r="FH38" s="561"/>
      <c r="FI38" s="559"/>
      <c r="FJ38" s="560"/>
      <c r="FK38" s="560"/>
      <c r="FL38" s="560"/>
      <c r="FM38" s="496"/>
      <c r="FN38" s="561"/>
      <c r="FO38" s="559"/>
      <c r="FP38" s="560"/>
      <c r="FQ38" s="560"/>
      <c r="FR38" s="560"/>
      <c r="FS38" s="496"/>
      <c r="FT38" s="561"/>
      <c r="FU38" s="559"/>
      <c r="FV38" s="560"/>
      <c r="FW38" s="560"/>
      <c r="FX38" s="560"/>
      <c r="FY38" s="560"/>
      <c r="FZ38" s="496"/>
      <c r="GA38" s="561"/>
      <c r="GB38" s="559"/>
      <c r="GC38" s="560"/>
      <c r="GD38" s="560"/>
      <c r="GE38" s="560"/>
      <c r="GF38" s="405"/>
      <c r="GG38" s="405"/>
      <c r="GH38" s="405"/>
      <c r="GI38" s="405"/>
      <c r="GJ38" s="405"/>
      <c r="GK38" s="405"/>
      <c r="GL38" s="405"/>
      <c r="GM38" s="405"/>
      <c r="GN38" s="405"/>
      <c r="GO38" s="405"/>
      <c r="GP38" s="405"/>
      <c r="GQ38" s="405"/>
    </row>
    <row r="39" ht="15.75">
      <c r="A39" s="569" t="s">
        <v>239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1"/>
      <c r="L39" s="571"/>
      <c r="M39" s="571"/>
      <c r="N39" s="571"/>
      <c r="O39" s="571"/>
      <c r="P39" s="571"/>
      <c r="Q39" s="569"/>
      <c r="R39" s="569"/>
      <c r="S39" s="570"/>
      <c r="T39" s="570"/>
      <c r="U39" s="570"/>
      <c r="V39" s="570"/>
      <c r="W39" s="570"/>
      <c r="X39" s="570"/>
      <c r="Y39" s="569"/>
      <c r="Z39" s="569"/>
      <c r="AA39" s="571"/>
      <c r="AB39" s="571"/>
      <c r="AC39" s="571"/>
      <c r="AD39" s="571"/>
      <c r="AE39" s="571"/>
      <c r="AF39" s="569"/>
      <c r="AG39" s="569"/>
      <c r="AH39" s="569"/>
      <c r="AI39" s="569"/>
      <c r="AJ39" s="569"/>
      <c r="AK39" s="569"/>
      <c r="AL39" s="569"/>
      <c r="AM39" s="547"/>
      <c r="AN39" s="547"/>
      <c r="AO39" s="547"/>
      <c r="AP39" s="547"/>
      <c r="AQ39" s="547"/>
      <c r="AR39" s="547"/>
      <c r="AS39" s="547"/>
      <c r="AT39" s="547"/>
      <c r="AU39" s="547"/>
      <c r="AV39" s="547"/>
      <c r="AW39" s="547"/>
      <c r="AX39" s="547"/>
      <c r="AY39" s="547"/>
      <c r="AZ39" s="547"/>
      <c r="BA39" s="547"/>
      <c r="BB39" s="547"/>
      <c r="BC39" s="547"/>
      <c r="BD39" s="547"/>
      <c r="BE39" s="547"/>
      <c r="BF39" s="547"/>
      <c r="BG39" s="547"/>
      <c r="BH39" s="547"/>
      <c r="BI39" s="547"/>
      <c r="BJ39" s="547"/>
      <c r="BK39" s="547"/>
      <c r="BL39" s="547"/>
      <c r="BM39" s="547"/>
      <c r="BN39" s="547"/>
      <c r="BO39" s="547"/>
      <c r="BP39" s="547"/>
      <c r="BQ39" s="547"/>
      <c r="BR39" s="547"/>
      <c r="BS39" s="547"/>
      <c r="BT39" s="547"/>
      <c r="BU39" s="547"/>
      <c r="BV39" s="547"/>
      <c r="BW39" s="547"/>
      <c r="BX39" s="547"/>
      <c r="BY39" s="547"/>
      <c r="BZ39" s="547"/>
      <c r="CA39" s="547"/>
      <c r="CB39" s="547"/>
      <c r="CC39" s="547"/>
      <c r="CD39" s="547"/>
      <c r="CE39" s="547"/>
      <c r="CF39" s="547"/>
      <c r="CG39" s="547"/>
      <c r="CH39" s="547"/>
      <c r="CI39" s="547"/>
      <c r="CJ39" s="547"/>
      <c r="CK39" s="547"/>
      <c r="CL39" s="547"/>
      <c r="CM39" s="547"/>
      <c r="CN39" s="547"/>
      <c r="CO39" s="547"/>
      <c r="CP39" s="547"/>
      <c r="CQ39" s="547"/>
      <c r="CR39" s="547"/>
      <c r="CS39" s="547"/>
      <c r="CT39" s="547"/>
      <c r="CU39" s="547"/>
      <c r="CV39" s="547"/>
      <c r="CW39" s="547"/>
      <c r="CX39" s="547"/>
      <c r="CY39" s="547"/>
      <c r="CZ39" s="547"/>
      <c r="DA39" s="547"/>
      <c r="DB39" s="547"/>
      <c r="DC39" s="547"/>
      <c r="DD39" s="547"/>
      <c r="DE39" s="547"/>
      <c r="DF39" s="547"/>
      <c r="DG39" s="547"/>
      <c r="DH39" s="547"/>
      <c r="DI39" s="547"/>
      <c r="DJ39" s="487"/>
      <c r="DK39" s="562"/>
      <c r="DL39" s="547"/>
      <c r="DM39" s="547"/>
      <c r="DN39" s="547"/>
      <c r="DO39" s="547"/>
      <c r="DP39" s="547"/>
      <c r="DQ39" s="487"/>
      <c r="DR39" s="562"/>
      <c r="DS39" s="547"/>
      <c r="DT39" s="547"/>
      <c r="DU39" s="547"/>
      <c r="DV39" s="547"/>
      <c r="DW39" s="547"/>
      <c r="DX39" s="563"/>
      <c r="DY39" s="564"/>
      <c r="DZ39" s="550"/>
      <c r="EA39" s="551"/>
      <c r="EB39" s="551"/>
      <c r="EC39" s="551"/>
      <c r="ED39" s="551"/>
      <c r="EE39" s="565"/>
      <c r="EF39" s="566"/>
      <c r="EG39" s="567"/>
      <c r="EH39" s="555"/>
      <c r="EI39" s="556"/>
      <c r="EJ39" s="556"/>
      <c r="EK39" s="556"/>
      <c r="EL39" s="557"/>
      <c r="EM39" s="566"/>
      <c r="EN39" s="567"/>
      <c r="EO39" s="555"/>
      <c r="EP39" s="556"/>
      <c r="EQ39" s="556"/>
      <c r="ER39" s="556"/>
      <c r="ES39" s="557"/>
      <c r="ET39" s="566"/>
      <c r="EU39" s="567"/>
      <c r="EV39" s="555"/>
      <c r="EW39" s="556"/>
      <c r="EX39" s="556"/>
      <c r="EY39" s="557"/>
      <c r="EZ39" s="488"/>
      <c r="FA39" s="568"/>
      <c r="FB39" s="559"/>
      <c r="FC39" s="560"/>
      <c r="FD39" s="560"/>
      <c r="FE39" s="560"/>
      <c r="FF39" s="560"/>
      <c r="FG39" s="496"/>
      <c r="FH39" s="561"/>
      <c r="FI39" s="559"/>
      <c r="FJ39" s="560"/>
      <c r="FK39" s="560"/>
      <c r="FL39" s="560"/>
      <c r="FM39" s="496"/>
      <c r="FN39" s="561"/>
      <c r="FO39" s="559"/>
      <c r="FP39" s="560"/>
      <c r="FQ39" s="560"/>
      <c r="FR39" s="560"/>
      <c r="FS39" s="496"/>
      <c r="FT39" s="561"/>
      <c r="FU39" s="559"/>
      <c r="FV39" s="560"/>
      <c r="FW39" s="560"/>
      <c r="FX39" s="560"/>
      <c r="FY39" s="560"/>
      <c r="FZ39" s="496"/>
      <c r="GA39" s="561"/>
      <c r="GB39" s="559"/>
      <c r="GC39" s="560"/>
      <c r="GD39" s="560"/>
      <c r="GE39" s="560"/>
      <c r="GF39" s="405"/>
      <c r="GG39" s="405"/>
      <c r="GH39" s="405"/>
      <c r="GI39" s="405"/>
      <c r="GJ39" s="405"/>
      <c r="GK39" s="405"/>
      <c r="GL39" s="405"/>
      <c r="GM39" s="405"/>
      <c r="GN39" s="405"/>
      <c r="GO39" s="405"/>
      <c r="GP39" s="405"/>
      <c r="GQ39" s="405"/>
    </row>
    <row r="40" ht="15.75">
      <c r="A40" s="546" t="s">
        <v>240</v>
      </c>
      <c r="B40" s="7"/>
      <c r="C40" s="7"/>
      <c r="D40" s="7"/>
      <c r="E40" s="7"/>
      <c r="F40" s="7"/>
      <c r="G40" s="7"/>
      <c r="H40" s="7"/>
      <c r="I40" s="7"/>
      <c r="J40" s="7"/>
      <c r="K40" s="389"/>
      <c r="L40" s="389"/>
      <c r="M40" s="389"/>
      <c r="N40" s="389"/>
      <c r="O40" s="389"/>
      <c r="P40" s="389"/>
      <c r="Q40" s="546"/>
      <c r="R40" s="546"/>
      <c r="S40" s="7"/>
      <c r="T40" s="7"/>
      <c r="U40" s="7"/>
      <c r="V40" s="7"/>
      <c r="W40" s="7"/>
      <c r="X40" s="7"/>
      <c r="Y40" s="546"/>
      <c r="Z40" s="546"/>
      <c r="AA40" s="389"/>
      <c r="AB40" s="389"/>
      <c r="AC40" s="389"/>
      <c r="AD40" s="389"/>
      <c r="AE40" s="389"/>
      <c r="AF40" s="546"/>
      <c r="AG40" s="546"/>
      <c r="AH40" s="546"/>
      <c r="AI40" s="546"/>
      <c r="AJ40" s="546"/>
      <c r="AK40" s="546"/>
      <c r="AL40" s="546"/>
      <c r="AM40" s="547"/>
      <c r="AN40" s="547"/>
      <c r="AO40" s="547"/>
      <c r="AP40" s="547"/>
      <c r="AQ40" s="547"/>
      <c r="AR40" s="547"/>
      <c r="AS40" s="547"/>
      <c r="AT40" s="547"/>
      <c r="AU40" s="547"/>
      <c r="AV40" s="547"/>
      <c r="AW40" s="547"/>
      <c r="AX40" s="547"/>
      <c r="AY40" s="547"/>
      <c r="AZ40" s="547"/>
      <c r="BA40" s="547"/>
      <c r="BB40" s="547"/>
      <c r="BC40" s="547"/>
      <c r="BD40" s="547"/>
      <c r="BE40" s="547"/>
      <c r="BF40" s="547"/>
      <c r="BG40" s="547"/>
      <c r="BH40" s="547"/>
      <c r="BI40" s="547"/>
      <c r="BJ40" s="547"/>
      <c r="BK40" s="547"/>
      <c r="BL40" s="547"/>
      <c r="BM40" s="547"/>
      <c r="BN40" s="547"/>
      <c r="BO40" s="547"/>
      <c r="BP40" s="547"/>
      <c r="BQ40" s="547"/>
      <c r="BR40" s="547"/>
      <c r="BS40" s="547"/>
      <c r="BT40" s="547"/>
      <c r="BU40" s="547"/>
      <c r="BV40" s="547"/>
      <c r="BW40" s="547"/>
      <c r="BX40" s="547"/>
      <c r="BY40" s="547"/>
      <c r="BZ40" s="547"/>
      <c r="CA40" s="547"/>
      <c r="CB40" s="547"/>
      <c r="CC40" s="547"/>
      <c r="CD40" s="547"/>
      <c r="CE40" s="547"/>
      <c r="CF40" s="547"/>
      <c r="CG40" s="547"/>
      <c r="CH40" s="547"/>
      <c r="CI40" s="547"/>
      <c r="CJ40" s="547"/>
      <c r="CK40" s="547"/>
      <c r="CL40" s="547"/>
      <c r="CM40" s="547"/>
      <c r="CN40" s="547"/>
      <c r="CO40" s="547"/>
      <c r="CP40" s="547"/>
      <c r="CQ40" s="547"/>
      <c r="CR40" s="547"/>
      <c r="CS40" s="547"/>
      <c r="CT40" s="547"/>
      <c r="CU40" s="547"/>
      <c r="CV40" s="547"/>
      <c r="CW40" s="547"/>
      <c r="CX40" s="547"/>
      <c r="CY40" s="547"/>
      <c r="CZ40" s="547"/>
      <c r="DA40" s="547"/>
      <c r="DB40" s="547"/>
      <c r="DC40" s="547"/>
      <c r="DD40" s="547"/>
      <c r="DE40" s="547"/>
      <c r="DF40" s="547"/>
      <c r="DG40" s="547"/>
      <c r="DH40" s="547"/>
      <c r="DI40" s="547"/>
      <c r="DJ40" s="487"/>
      <c r="DK40" s="562"/>
      <c r="DL40" s="547"/>
      <c r="DM40" s="547"/>
      <c r="DN40" s="547"/>
      <c r="DO40" s="547"/>
      <c r="DP40" s="547"/>
      <c r="DQ40" s="487"/>
      <c r="DR40" s="562"/>
      <c r="DS40" s="547"/>
      <c r="DT40" s="547"/>
      <c r="DU40" s="547"/>
      <c r="DV40" s="547"/>
      <c r="DW40" s="547"/>
      <c r="DX40" s="563"/>
      <c r="DY40" s="564"/>
      <c r="DZ40" s="550"/>
      <c r="EA40" s="551"/>
      <c r="EB40" s="551"/>
      <c r="EC40" s="551"/>
      <c r="ED40" s="551"/>
      <c r="EE40" s="565"/>
      <c r="EF40" s="566"/>
      <c r="EG40" s="567"/>
      <c r="EH40" s="555"/>
      <c r="EI40" s="556"/>
      <c r="EJ40" s="556"/>
      <c r="EK40" s="556"/>
      <c r="EL40" s="557"/>
      <c r="EM40" s="566"/>
      <c r="EN40" s="567"/>
      <c r="EO40" s="555"/>
      <c r="EP40" s="556"/>
      <c r="EQ40" s="556"/>
      <c r="ER40" s="556"/>
      <c r="ES40" s="557"/>
      <c r="ET40" s="566"/>
      <c r="EU40" s="567"/>
      <c r="EV40" s="555"/>
      <c r="EW40" s="556"/>
      <c r="EX40" s="556"/>
      <c r="EY40" s="557"/>
      <c r="EZ40" s="488" t="n">
        <v>4</v>
      </c>
      <c r="FA40" s="568"/>
      <c r="FB40" s="559"/>
      <c r="FC40" s="560"/>
      <c r="FD40" s="560"/>
      <c r="FE40" s="560"/>
      <c r="FF40" s="560"/>
      <c r="FG40" s="496" t="n">
        <v>4</v>
      </c>
      <c r="FH40" s="561"/>
      <c r="FI40" s="559"/>
      <c r="FJ40" s="560"/>
      <c r="FK40" s="560"/>
      <c r="FL40" s="560"/>
      <c r="FM40" s="496" t="n">
        <v>4</v>
      </c>
      <c r="FN40" s="561"/>
      <c r="FO40" s="559"/>
      <c r="FP40" s="560"/>
      <c r="FQ40" s="560"/>
      <c r="FR40" s="560"/>
      <c r="FS40" s="496" t="n">
        <v>4</v>
      </c>
      <c r="FT40" s="561"/>
      <c r="FU40" s="559"/>
      <c r="FV40" s="560"/>
      <c r="FW40" s="560"/>
      <c r="FX40" s="560"/>
      <c r="FY40" s="560"/>
      <c r="FZ40" s="496" t="n">
        <v>4</v>
      </c>
      <c r="GA40" s="561"/>
      <c r="GB40" s="559"/>
      <c r="GC40" s="560"/>
      <c r="GD40" s="560"/>
      <c r="GE40" s="560"/>
      <c r="GF40" s="405"/>
      <c r="GG40" s="405"/>
      <c r="GH40" s="405"/>
      <c r="GI40" s="405"/>
      <c r="GJ40" s="405"/>
      <c r="GK40" s="405"/>
      <c r="GL40" s="405"/>
      <c r="GM40" s="405"/>
      <c r="GN40" s="405"/>
      <c r="GO40" s="405"/>
      <c r="GP40" s="405"/>
      <c r="GQ40" s="405"/>
    </row>
    <row r="41" ht="15.75">
      <c r="A41" s="546" t="s">
        <v>241</v>
      </c>
      <c r="B41" s="7"/>
      <c r="C41" s="7"/>
      <c r="D41" s="7"/>
      <c r="E41" s="7"/>
      <c r="F41" s="7"/>
      <c r="G41" s="7"/>
      <c r="H41" s="7"/>
      <c r="I41" s="7"/>
      <c r="J41" s="7"/>
      <c r="K41" s="389"/>
      <c r="L41" s="389"/>
      <c r="M41" s="389"/>
      <c r="N41" s="389"/>
      <c r="O41" s="389"/>
      <c r="P41" s="389"/>
      <c r="Q41" s="546"/>
      <c r="R41" s="546"/>
      <c r="S41" s="7"/>
      <c r="T41" s="7"/>
      <c r="U41" s="7"/>
      <c r="V41" s="7"/>
      <c r="W41" s="7"/>
      <c r="X41" s="7"/>
      <c r="Y41" s="546"/>
      <c r="Z41" s="546"/>
      <c r="AA41" s="389"/>
      <c r="AB41" s="389"/>
      <c r="AC41" s="389"/>
      <c r="AD41" s="389"/>
      <c r="AE41" s="389"/>
      <c r="AF41" s="546"/>
      <c r="AG41" s="546"/>
      <c r="AH41" s="546"/>
      <c r="AI41" s="546"/>
      <c r="AJ41" s="546"/>
      <c r="AK41" s="546"/>
      <c r="AL41" s="546"/>
      <c r="AM41" s="547"/>
      <c r="AN41" s="547"/>
      <c r="AO41" s="547"/>
      <c r="AP41" s="547"/>
      <c r="AQ41" s="547"/>
      <c r="AR41" s="547"/>
      <c r="AS41" s="547"/>
      <c r="AT41" s="547"/>
      <c r="AU41" s="547"/>
      <c r="AV41" s="547"/>
      <c r="AW41" s="547"/>
      <c r="AX41" s="547"/>
      <c r="AY41" s="547"/>
      <c r="AZ41" s="547"/>
      <c r="BA41" s="547"/>
      <c r="BB41" s="547"/>
      <c r="BC41" s="547"/>
      <c r="BD41" s="547"/>
      <c r="BE41" s="547"/>
      <c r="BF41" s="547"/>
      <c r="BG41" s="547"/>
      <c r="BH41" s="547"/>
      <c r="BI41" s="547"/>
      <c r="BJ41" s="547"/>
      <c r="BK41" s="547"/>
      <c r="BL41" s="547"/>
      <c r="BM41" s="547"/>
      <c r="BN41" s="547"/>
      <c r="BO41" s="547"/>
      <c r="BP41" s="547"/>
      <c r="BQ41" s="547"/>
      <c r="BR41" s="547"/>
      <c r="BS41" s="547"/>
      <c r="BT41" s="547"/>
      <c r="BU41" s="547"/>
      <c r="BV41" s="547"/>
      <c r="BW41" s="547"/>
      <c r="BX41" s="547"/>
      <c r="BY41" s="547"/>
      <c r="BZ41" s="547"/>
      <c r="CA41" s="547"/>
      <c r="CB41" s="547"/>
      <c r="CC41" s="547"/>
      <c r="CD41" s="547"/>
      <c r="CE41" s="547"/>
      <c r="CF41" s="547"/>
      <c r="CG41" s="547"/>
      <c r="CH41" s="547"/>
      <c r="CI41" s="547"/>
      <c r="CJ41" s="547"/>
      <c r="CK41" s="547"/>
      <c r="CL41" s="547"/>
      <c r="CM41" s="547"/>
      <c r="CN41" s="547"/>
      <c r="CO41" s="547"/>
      <c r="CP41" s="547"/>
      <c r="CQ41" s="547"/>
      <c r="CR41" s="547"/>
      <c r="CS41" s="547"/>
      <c r="CT41" s="547"/>
      <c r="CU41" s="547"/>
      <c r="CV41" s="547"/>
      <c r="CW41" s="547"/>
      <c r="CX41" s="547"/>
      <c r="CY41" s="547"/>
      <c r="CZ41" s="547"/>
      <c r="DA41" s="547"/>
      <c r="DB41" s="547"/>
      <c r="DC41" s="547"/>
      <c r="DD41" s="547"/>
      <c r="DE41" s="547"/>
      <c r="DF41" s="547"/>
      <c r="DG41" s="547"/>
      <c r="DH41" s="547"/>
      <c r="DI41" s="547"/>
      <c r="DJ41" s="487"/>
      <c r="DK41" s="562"/>
      <c r="DL41" s="547"/>
      <c r="DM41" s="547"/>
      <c r="DN41" s="547"/>
      <c r="DO41" s="547"/>
      <c r="DP41" s="547"/>
      <c r="DQ41" s="487"/>
      <c r="DR41" s="562"/>
      <c r="DS41" s="547"/>
      <c r="DT41" s="547"/>
      <c r="DU41" s="547"/>
      <c r="DV41" s="547"/>
      <c r="DW41" s="547"/>
      <c r="DX41" s="563"/>
      <c r="DY41" s="564"/>
      <c r="DZ41" s="550"/>
      <c r="EA41" s="551"/>
      <c r="EB41" s="551"/>
      <c r="EC41" s="551"/>
      <c r="ED41" s="551"/>
      <c r="EE41" s="565"/>
      <c r="EF41" s="566"/>
      <c r="EG41" s="567"/>
      <c r="EH41" s="555"/>
      <c r="EI41" s="556"/>
      <c r="EJ41" s="556"/>
      <c r="EK41" s="556"/>
      <c r="EL41" s="557"/>
      <c r="EM41" s="566"/>
      <c r="EN41" s="567"/>
      <c r="EO41" s="555"/>
      <c r="EP41" s="556"/>
      <c r="EQ41" s="556"/>
      <c r="ER41" s="556"/>
      <c r="ES41" s="557"/>
      <c r="ET41" s="566"/>
      <c r="EU41" s="567"/>
      <c r="EV41" s="555"/>
      <c r="EW41" s="556"/>
      <c r="EX41" s="556"/>
      <c r="EY41" s="557"/>
      <c r="EZ41" s="488" t="n">
        <v>0</v>
      </c>
      <c r="FA41" s="568"/>
      <c r="FB41" s="559"/>
      <c r="FC41" s="559"/>
      <c r="FD41" s="560"/>
      <c r="FE41" s="560"/>
      <c r="FF41" s="560"/>
      <c r="FG41" s="496" t="n">
        <v>0</v>
      </c>
      <c r="FH41" s="561"/>
      <c r="FI41" s="559"/>
      <c r="FJ41" s="559"/>
      <c r="FK41" s="560"/>
      <c r="FL41" s="560"/>
      <c r="FM41" s="496" t="n">
        <v>0</v>
      </c>
      <c r="FN41" s="561"/>
      <c r="FO41" s="559"/>
      <c r="FP41" s="559"/>
      <c r="FQ41" s="560"/>
      <c r="FR41" s="560"/>
      <c r="FS41" s="496" t="n">
        <v>0</v>
      </c>
      <c r="FT41" s="561"/>
      <c r="FU41" s="559"/>
      <c r="FV41" s="559"/>
      <c r="FW41" s="560"/>
      <c r="FX41" s="560"/>
      <c r="FY41" s="560"/>
      <c r="FZ41" s="496" t="n">
        <v>0</v>
      </c>
      <c r="GA41" s="561"/>
      <c r="GB41" s="559"/>
      <c r="GC41" s="559"/>
      <c r="GD41" s="560"/>
      <c r="GE41" s="560"/>
      <c r="GF41" s="405"/>
      <c r="GG41" s="405"/>
      <c r="GH41" s="405"/>
      <c r="GI41" s="405"/>
      <c r="GJ41" s="405"/>
      <c r="GK41" s="405"/>
      <c r="GL41" s="405"/>
      <c r="GM41" s="405"/>
      <c r="GN41" s="405"/>
      <c r="GO41" s="405"/>
      <c r="GP41" s="405"/>
      <c r="GQ41" s="405"/>
    </row>
    <row r="42" ht="15.75">
      <c r="A42" s="546" t="s">
        <v>242</v>
      </c>
      <c r="B42" s="7"/>
      <c r="C42" s="7"/>
      <c r="D42" s="7"/>
      <c r="E42" s="7"/>
      <c r="F42" s="7"/>
      <c r="G42" s="7"/>
      <c r="H42" s="7"/>
      <c r="I42" s="7"/>
      <c r="J42" s="7"/>
      <c r="K42" s="389"/>
      <c r="L42" s="389"/>
      <c r="M42" s="389"/>
      <c r="N42" s="389"/>
      <c r="O42" s="389"/>
      <c r="P42" s="389"/>
      <c r="Q42" s="573"/>
      <c r="R42" s="573"/>
      <c r="S42" s="2"/>
      <c r="T42" s="2"/>
      <c r="U42" s="2"/>
      <c r="V42" s="2"/>
      <c r="W42" s="2"/>
      <c r="X42" s="2"/>
      <c r="Y42" s="573"/>
      <c r="Z42" s="573"/>
      <c r="AA42" s="389"/>
      <c r="AB42" s="389"/>
      <c r="AC42" s="389"/>
      <c r="AD42" s="389"/>
      <c r="AE42" s="389"/>
      <c r="AF42" s="573"/>
      <c r="AG42" s="573"/>
      <c r="AH42" s="573"/>
      <c r="AI42" s="573"/>
      <c r="AJ42" s="573"/>
      <c r="AK42" s="573"/>
      <c r="AL42" s="573"/>
      <c r="AM42" s="574"/>
      <c r="AN42" s="574"/>
      <c r="AO42" s="574"/>
      <c r="AP42" s="574"/>
      <c r="AQ42" s="574"/>
      <c r="AR42" s="574"/>
      <c r="AS42" s="574"/>
      <c r="AT42" s="574"/>
      <c r="AU42" s="574"/>
      <c r="AV42" s="574"/>
      <c r="AW42" s="574"/>
      <c r="AX42" s="574"/>
      <c r="AY42" s="574"/>
      <c r="AZ42" s="574"/>
      <c r="BA42" s="574"/>
      <c r="BB42" s="574"/>
      <c r="BC42" s="574"/>
      <c r="BD42" s="574"/>
      <c r="BE42" s="574"/>
      <c r="BF42" s="574"/>
      <c r="BG42" s="574"/>
      <c r="BH42" s="574"/>
      <c r="BI42" s="574"/>
      <c r="BJ42" s="574"/>
      <c r="BK42" s="574"/>
      <c r="BL42" s="574"/>
      <c r="BM42" s="574"/>
      <c r="BN42" s="574"/>
      <c r="BO42" s="574"/>
      <c r="BP42" s="574"/>
      <c r="BQ42" s="574"/>
      <c r="BR42" s="574"/>
      <c r="BS42" s="574"/>
      <c r="BT42" s="574"/>
      <c r="BU42" s="574"/>
      <c r="BV42" s="574"/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4"/>
      <c r="CV42" s="574"/>
      <c r="CW42" s="574"/>
      <c r="CX42" s="574"/>
      <c r="CY42" s="574"/>
      <c r="CZ42" s="574"/>
      <c r="DA42" s="574"/>
      <c r="DB42" s="574"/>
      <c r="DC42" s="574"/>
      <c r="DD42" s="574"/>
      <c r="DE42" s="574"/>
      <c r="DF42" s="574"/>
      <c r="DG42" s="574"/>
      <c r="DH42" s="574"/>
      <c r="DI42" s="574"/>
      <c r="DJ42" s="575"/>
      <c r="DK42" s="576"/>
      <c r="DL42" s="574"/>
      <c r="DM42" s="574"/>
      <c r="DN42" s="574"/>
      <c r="DO42" s="574"/>
      <c r="DP42" s="574"/>
      <c r="DQ42" s="575"/>
      <c r="DR42" s="576"/>
      <c r="DS42" s="574"/>
      <c r="DT42" s="574"/>
      <c r="DU42" s="574"/>
      <c r="DV42" s="574"/>
      <c r="DW42" s="574"/>
      <c r="DX42" s="577"/>
      <c r="DY42" s="578"/>
      <c r="DZ42" s="550"/>
      <c r="EA42" s="551"/>
      <c r="EB42" s="551"/>
      <c r="EC42" s="551"/>
      <c r="ED42" s="551"/>
      <c r="EE42" s="565"/>
      <c r="EF42" s="579"/>
      <c r="EG42" s="580"/>
      <c r="EH42" s="555"/>
      <c r="EI42" s="556"/>
      <c r="EJ42" s="556"/>
      <c r="EK42" s="556"/>
      <c r="EL42" s="557"/>
      <c r="EM42" s="579"/>
      <c r="EN42" s="580"/>
      <c r="EO42" s="555"/>
      <c r="EP42" s="556"/>
      <c r="EQ42" s="556"/>
      <c r="ER42" s="556"/>
      <c r="ES42" s="557"/>
      <c r="ET42" s="579"/>
      <c r="EU42" s="580"/>
      <c r="EV42" s="555"/>
      <c r="EW42" s="556"/>
      <c r="EX42" s="581"/>
      <c r="EY42" s="582"/>
      <c r="EZ42" s="583" t="n">
        <v>1</v>
      </c>
      <c r="FA42" s="584"/>
      <c r="FB42" s="559"/>
      <c r="FC42" s="559"/>
      <c r="FD42" s="560"/>
      <c r="FE42" s="560"/>
      <c r="FF42" s="560"/>
      <c r="FG42" s="585" t="n">
        <v>1</v>
      </c>
      <c r="FH42" s="586"/>
      <c r="FI42" s="559"/>
      <c r="FJ42" s="559"/>
      <c r="FK42" s="560"/>
      <c r="FL42" s="560"/>
      <c r="FM42" s="585" t="n">
        <v>1</v>
      </c>
      <c r="FN42" s="586"/>
      <c r="FO42" s="559"/>
      <c r="FP42" s="559"/>
      <c r="FQ42" s="560"/>
      <c r="FR42" s="560"/>
      <c r="FS42" s="585" t="n">
        <v>1</v>
      </c>
      <c r="FT42" s="586"/>
      <c r="FU42" s="559"/>
      <c r="FV42" s="559"/>
      <c r="FW42" s="560"/>
      <c r="FX42" s="560"/>
      <c r="FY42" s="560"/>
      <c r="FZ42" s="585" t="n">
        <v>1</v>
      </c>
      <c r="GA42" s="586"/>
      <c r="GB42" s="559"/>
      <c r="GC42" s="559"/>
      <c r="GD42" s="560"/>
      <c r="GE42" s="560"/>
      <c r="GF42" s="405"/>
      <c r="GG42" s="405"/>
      <c r="GH42" s="405"/>
      <c r="GI42" s="405"/>
      <c r="GJ42" s="405"/>
      <c r="GK42" s="405"/>
      <c r="GL42" s="405"/>
      <c r="GM42" s="405"/>
      <c r="GN42" s="405"/>
      <c r="GO42" s="405"/>
      <c r="GP42" s="405"/>
      <c r="GQ42" s="405"/>
    </row>
    <row r="43" ht="15.75">
      <c r="A43" s="587" t="s">
        <v>152</v>
      </c>
      <c r="B43" s="588"/>
      <c r="C43" s="588"/>
      <c r="D43" s="589" t="str">
        <f>(D7-E7)/E7</f>
      </c>
      <c r="E43" s="589" t="str">
        <f>(E7-F7)/F7</f>
      </c>
      <c r="F43" s="589" t="str">
        <f>(F7-G7)/G7</f>
      </c>
      <c r="G43" s="589" t="str">
        <f>(G7-I7)/I7</f>
      </c>
      <c r="H43" s="589" t="str">
        <f>(H7-L7)/L7</f>
      </c>
      <c r="I43" s="589" t="str">
        <f>(I7-M7)/M7</f>
      </c>
      <c r="J43" s="590"/>
      <c r="K43" s="590"/>
      <c r="L43" s="590"/>
      <c r="M43" s="589" t="str">
        <f>(M7-N7)/N7</f>
      </c>
      <c r="N43" s="589" t="str">
        <f>(N7-O7)/O7</f>
      </c>
      <c r="O43" s="589" t="str">
        <f>(O7-P7)/P7</f>
      </c>
      <c r="P43" s="590"/>
      <c r="Q43" s="590"/>
      <c r="R43" s="590"/>
      <c r="S43" s="588"/>
      <c r="T43" s="589" t="str">
        <f>(T7-U7)/U7</f>
      </c>
      <c r="U43" s="589" t="str">
        <f>(U7-V7)/V7</f>
      </c>
      <c r="V43" s="589" t="str">
        <f>(V7-W7)/W7</f>
      </c>
      <c r="W43" s="589" t="str">
        <f>(W7-AA7)/AA7</f>
      </c>
      <c r="X43" s="588"/>
      <c r="Y43" s="590"/>
      <c r="Z43" s="590"/>
      <c r="AA43" s="589" t="str">
        <f>(AA7-AB7)/AB7</f>
      </c>
      <c r="AB43" s="589" t="str">
        <f>(AB7-AC7)/AC7</f>
      </c>
      <c r="AC43" s="589" t="str">
        <f>(AC7-AD7)/AD7</f>
      </c>
      <c r="AD43" s="589" t="str">
        <f>(AD7-AH7)/AH7</f>
      </c>
      <c r="AE43" s="588"/>
      <c r="AF43" s="590"/>
      <c r="AG43" s="590"/>
      <c r="AH43" s="589" t="str">
        <f>(AH7-AI7)/AI7</f>
      </c>
      <c r="AI43" s="589" t="str">
        <f>(AI7-AJ7)/AJ7</f>
      </c>
      <c r="AJ43" s="589" t="str">
        <f>(AJ7-AK7)/AK7</f>
      </c>
      <c r="AK43" s="589" t="str">
        <f>(AK7-AL7)/AL7</f>
      </c>
      <c r="AL43" s="589" t="str">
        <f>(AL7-AM7)/AM7</f>
      </c>
      <c r="AM43" s="591"/>
      <c r="AN43" s="591"/>
      <c r="AO43" s="589" t="str">
        <f>(AO7-AP7)/AP7</f>
      </c>
      <c r="AP43" s="589" t="str">
        <f>(AP7-AQ7)/AQ7</f>
      </c>
      <c r="AQ43" s="589" t="str">
        <f>(AQ7-AR7)/AR7</f>
      </c>
      <c r="AR43" s="589" t="str">
        <f>(AR7-AS7)/AS7</f>
      </c>
      <c r="AS43" s="589" t="str">
        <f>(AS7-AV7)/AV7</f>
      </c>
      <c r="AT43" s="591"/>
      <c r="AU43" s="591"/>
      <c r="AV43" s="589" t="str">
        <f>(AV7-AW7)/AW7</f>
      </c>
      <c r="AW43" s="589" t="str">
        <f>(AW7-AX7)/AX7</f>
      </c>
      <c r="AX43" s="589" t="str">
        <f>(AX7-AY7)/AY7</f>
      </c>
      <c r="AY43" s="589" t="str">
        <f>(AY7-BA7)/BA7</f>
      </c>
      <c r="AZ43" s="589"/>
      <c r="BA43" s="589" t="str">
        <f>(BA7-BE7)/BE7</f>
      </c>
      <c r="BB43" s="591"/>
      <c r="BC43" s="591"/>
      <c r="BD43" s="591"/>
      <c r="BE43" s="589" t="str">
        <f>(BE7-BF7)/BF7</f>
      </c>
      <c r="BF43" s="589" t="str">
        <f>(BF7-BG7)/BG7</f>
      </c>
      <c r="BG43" s="589" t="str">
        <f>(BG7-BI7)/BI7</f>
      </c>
      <c r="BH43" s="589"/>
      <c r="BI43" s="589" t="str">
        <f>(BI7-BM7)/BM7</f>
      </c>
      <c r="BJ43" s="589"/>
      <c r="BK43" s="591"/>
      <c r="BL43" s="589"/>
      <c r="BM43" s="589" t="str">
        <f>(BM7-BN7)/BN7</f>
      </c>
      <c r="BN43" s="589" t="str">
        <f>(BN7-BO7)/BO7</f>
      </c>
      <c r="BO43" s="589" t="str">
        <f>(BO7-BP7)/BP7</f>
      </c>
      <c r="BP43" s="589" t="str">
        <f>(BP7-BS7)/BS7</f>
      </c>
      <c r="BQ43" s="591"/>
      <c r="BR43" s="591"/>
      <c r="BS43" s="589" t="str">
        <f>(BS7-BT7)/BT7</f>
      </c>
      <c r="BT43" s="589" t="str">
        <f>(BT7-BU7)/BU7</f>
      </c>
      <c r="BU43" s="589" t="str">
        <f>(BU7-BV7)/BV7</f>
      </c>
      <c r="BV43" s="589" t="str">
        <f>(BV7-BX7)/BX7</f>
      </c>
      <c r="BW43" s="591"/>
      <c r="BX43" s="589" t="str">
        <f>(BX7-CB7)/CB7</f>
      </c>
      <c r="BY43" s="591"/>
      <c r="BZ43" s="591"/>
      <c r="CA43" s="589" t="str">
        <f>(CA7-CB7)/CB7</f>
      </c>
      <c r="CB43" s="589" t="str">
        <f>(CB7-CC7)/CC7</f>
      </c>
      <c r="CC43" s="589" t="str">
        <f>(CC7-CD7)/CD7</f>
      </c>
      <c r="CD43" s="589" t="str">
        <f>(CD7-CE7)/CE7</f>
      </c>
      <c r="CE43" s="589" t="str">
        <f>(CE7-CG43)/CG43</f>
      </c>
      <c r="CF43" s="591"/>
      <c r="CG43" s="592" t="str">
        <f>CH7+CI7</f>
      </c>
      <c r="CH43" s="591"/>
      <c r="CI43" s="589" t="str">
        <f>(CI7-CJ7)/CJ7</f>
      </c>
      <c r="CJ43" s="589" t="str">
        <f>(CJ7-CK7)/CK7</f>
      </c>
      <c r="CK43" s="589" t="str">
        <f>(CK7-CL7)/CL7</f>
      </c>
      <c r="CL43" s="589" t="str">
        <f>(CL7-CO43)/CO43</f>
      </c>
      <c r="CM43" s="589" t="str">
        <f>(CO43-CQ7)/CQ7</f>
      </c>
      <c r="CN43" s="591"/>
      <c r="CO43" s="593" t="str">
        <f>CP7+CM7</f>
      </c>
      <c r="CP43" s="591"/>
      <c r="CQ43" s="589" t="str">
        <f>(CQ7-CR7)/CR7</f>
      </c>
      <c r="CR43" s="591" t="str">
        <f>(CR7-CS7)/CS7</f>
      </c>
      <c r="CS43" s="589" t="str">
        <f>(CS7-CU43)/CU43</f>
      </c>
      <c r="CT43" s="591" t="str">
        <f>(CS7-CX7)/CX7</f>
      </c>
      <c r="CU43" s="592" t="n">
        <v>144230</v>
      </c>
      <c r="CV43" s="591"/>
      <c r="CW43" s="591"/>
      <c r="CX43" s="591" t="str">
        <f>(CX7-CY7)/CY7</f>
      </c>
      <c r="CY43" s="591" t="str">
        <f>(CY7-CZ7)/CZ7</f>
      </c>
      <c r="CZ43" s="591" t="str">
        <f>(CZ7-DB43)/DB43</f>
      </c>
      <c r="DA43" s="591" t="str">
        <f>(DB43-DE7)/DE7</f>
      </c>
      <c r="DB43" s="592" t="n">
        <v>100638</v>
      </c>
      <c r="DC43" s="591"/>
      <c r="DD43" s="591"/>
      <c r="DE43" s="591" t="str">
        <f>(DE7-DF7)/DF7</f>
      </c>
      <c r="DF43" s="591" t="str">
        <f>(DF7-DG7)/DG7</f>
      </c>
      <c r="DG43" s="591" t="str">
        <f>(DG7-DH7)/DH7</f>
      </c>
      <c r="DH43" s="591" t="str">
        <f>(DH7-DI43)/DI43</f>
      </c>
      <c r="DI43" s="113" t="n">
        <v>148961</v>
      </c>
      <c r="DJ43" s="591" t="str">
        <f>(DI43-DM7)/DM7</f>
      </c>
      <c r="DK43" s="591"/>
      <c r="DL43" s="591"/>
      <c r="DM43" s="591" t="str">
        <f>(DM7-DN7)/DN7</f>
      </c>
      <c r="DN43" s="591" t="str">
        <f>(DN7-DO7)/DO7</f>
      </c>
      <c r="DO43" s="591"/>
      <c r="DP43" s="594"/>
      <c r="DQ43" s="591"/>
      <c r="DR43" s="594"/>
      <c r="DS43" s="595"/>
      <c r="DT43" s="591"/>
      <c r="DU43" s="591"/>
      <c r="DV43" s="591"/>
      <c r="DW43" s="591"/>
      <c r="DX43" s="595"/>
      <c r="DY43" s="594"/>
      <c r="DZ43" s="595" t="n">
        <v>99625.12</v>
      </c>
      <c r="EA43" s="591" t="str">
        <f>(EA7-EB7)/EB7</f>
      </c>
      <c r="EB43" s="591" t="str">
        <f>(EB7-EC7)/EC7</f>
      </c>
      <c r="EC43" s="591" t="str">
        <f>(EC7-ED7)/ED7</f>
      </c>
      <c r="ED43" s="591"/>
      <c r="EE43" s="594"/>
      <c r="EF43" s="591"/>
      <c r="EG43" s="591"/>
      <c r="EH43" s="591"/>
      <c r="EI43" s="591"/>
      <c r="EJ43" s="591"/>
      <c r="EK43" s="591"/>
      <c r="EL43" s="591"/>
      <c r="EM43" s="591"/>
      <c r="EN43" s="594"/>
      <c r="EO43" s="591"/>
      <c r="EP43" s="591"/>
      <c r="EQ43" s="591"/>
      <c r="ER43" s="591"/>
      <c r="ES43" s="591"/>
      <c r="ET43" s="591"/>
      <c r="EU43" s="591"/>
      <c r="EV43" s="591"/>
      <c r="EW43" s="596"/>
      <c r="EX43" s="591"/>
      <c r="EY43" s="591"/>
      <c r="EZ43" s="591"/>
      <c r="FA43" s="591"/>
      <c r="FB43" s="3"/>
      <c r="FC43" s="3"/>
      <c r="FD43" s="3"/>
      <c r="FE43" s="3"/>
      <c r="FF43" s="3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591"/>
      <c r="FT43" s="591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</row>
    <row r="44" ht="15.75">
      <c r="A44" s="597" t="s">
        <v>243</v>
      </c>
      <c r="B44" s="598"/>
      <c r="C44" s="599" t="str">
        <f>C8/B8</f>
      </c>
      <c r="D44" s="589" t="str">
        <f>(D8-E8)/E8</f>
      </c>
      <c r="E44" s="589" t="str">
        <f>(E8-F8)/F8</f>
      </c>
      <c r="F44" s="589" t="str">
        <f>(F8-G8)/G8</f>
      </c>
      <c r="G44" s="589" t="str">
        <f>(G8-I8)/I8</f>
      </c>
      <c r="H44" s="589" t="str">
        <f>(H8-L8)/L8</f>
      </c>
      <c r="I44" s="589" t="str">
        <f>(I8-M8)/M8</f>
      </c>
      <c r="J44" s="600"/>
      <c r="K44" s="600"/>
      <c r="L44" s="600"/>
      <c r="M44" s="589" t="str">
        <f>(M8-N8)/N8</f>
      </c>
      <c r="N44" s="589" t="str">
        <f>(N8-O8)/O8</f>
      </c>
      <c r="O44" s="589" t="str">
        <f>(O8-P8)/P8</f>
      </c>
      <c r="P44" s="600"/>
      <c r="Q44" s="600"/>
      <c r="R44" s="600"/>
      <c r="S44" s="598"/>
      <c r="T44" s="589" t="str">
        <f>(T8-U8)/U8</f>
      </c>
      <c r="U44" s="589" t="str">
        <f>(U8-V8)/V8</f>
      </c>
      <c r="V44" s="589" t="str">
        <f>(V8-W8)/W8</f>
      </c>
      <c r="W44" s="589" t="str">
        <f>(W8-AA8)/AA8</f>
      </c>
      <c r="X44" s="598"/>
      <c r="Y44" s="600"/>
      <c r="Z44" s="600"/>
      <c r="AA44" s="589" t="str">
        <f>(AA8-AB8)/AB8</f>
      </c>
      <c r="AB44" s="589" t="str">
        <f>(AB8-AC8)/AC8</f>
      </c>
      <c r="AC44" s="589" t="str">
        <f>(AC8-AD8)/AD8</f>
      </c>
      <c r="AD44" s="589" t="str">
        <f>(AD8-AH8)/AH8</f>
      </c>
      <c r="AE44" s="598"/>
      <c r="AF44" s="600"/>
      <c r="AG44" s="600"/>
      <c r="AH44" s="589" t="str">
        <f>(AH8-AI8)/AI8</f>
      </c>
      <c r="AI44" s="589" t="str">
        <f>(AI8-AJ8)/AJ8</f>
      </c>
      <c r="AJ44" s="589" t="str">
        <f>(AJ8-AK8)/AK8</f>
      </c>
      <c r="AK44" s="589" t="str">
        <f>(AK8-AL8)/AL8</f>
      </c>
      <c r="AL44" s="589" t="str">
        <f>(AL8-AO8)/AO8</f>
      </c>
      <c r="AM44" s="158"/>
      <c r="AN44" s="158"/>
      <c r="AO44" s="589" t="str">
        <f>(AO8-AP8)/AP8</f>
      </c>
      <c r="AP44" s="589" t="str">
        <f>(AP8-AQ8)/AQ8</f>
      </c>
      <c r="AQ44" s="589" t="str">
        <f>(AQ8-AR8)/AR8</f>
      </c>
      <c r="AR44" s="589" t="str">
        <f>(AR8-AS8)/AS8</f>
      </c>
      <c r="AS44" s="589" t="str">
        <f>(AS8-AV8)/AV8</f>
      </c>
      <c r="AT44" s="158"/>
      <c r="AU44" s="158"/>
      <c r="AV44" s="601" t="str">
        <f>(AV8-AW8)/AW8</f>
      </c>
      <c r="AW44" s="601" t="str">
        <f>(AW8-AX8)/AX8</f>
      </c>
      <c r="AX44" s="601" t="str">
        <f>(AX8-AY8)/AY8</f>
      </c>
      <c r="AY44" s="601" t="str">
        <f>(AY8-BA8)/BA8</f>
      </c>
      <c r="AZ44" s="601"/>
      <c r="BA44" s="601" t="str">
        <f>(BA8-BE8)/BE8</f>
      </c>
      <c r="BB44" s="158"/>
      <c r="BC44" s="158"/>
      <c r="BD44" s="158"/>
      <c r="BE44" s="601" t="str">
        <f>(BE8-BF8)/BF8</f>
      </c>
      <c r="BF44" s="601" t="str">
        <f>(BF8-BG8)/BG8</f>
      </c>
      <c r="BG44" s="601" t="str">
        <f>(BG8-BI8)/BI8</f>
      </c>
      <c r="BH44" s="601"/>
      <c r="BI44" s="601" t="str">
        <f>(BI8-BM8)/BM8</f>
      </c>
      <c r="BJ44" s="601"/>
      <c r="BK44" s="158"/>
      <c r="BL44" s="601"/>
      <c r="BM44" s="601" t="str">
        <f>(BM8-BN8)/BN8</f>
      </c>
      <c r="BN44" s="601" t="str">
        <f>(BN8-BO8)/BO8</f>
      </c>
      <c r="BO44" s="601" t="str">
        <f>(BO8-BP8)/BP8</f>
      </c>
      <c r="BP44" s="601" t="str">
        <f>(BP8-BS8)/BS8</f>
      </c>
      <c r="BQ44" s="158"/>
      <c r="BR44" s="158"/>
      <c r="BS44" s="601" t="str">
        <f>(BS8-BT8)/BT8</f>
      </c>
      <c r="BT44" s="601" t="str">
        <f>(BT8-BU8)/BU8</f>
      </c>
      <c r="BU44" s="601" t="str">
        <f>(BU8-BV8)/BV8</f>
      </c>
      <c r="BV44" s="601" t="str">
        <f>(BV8-BX8)/BX8</f>
      </c>
      <c r="BW44" s="158"/>
      <c r="BX44" s="601" t="str">
        <f>(BX8-CB8)/CB8</f>
      </c>
      <c r="BY44" s="158"/>
      <c r="BZ44" s="158"/>
      <c r="CA44" s="601" t="str">
        <f>(CA8-CB8)/CB8</f>
      </c>
      <c r="CB44" s="601" t="str">
        <f>(CB8-CC8)/CC8</f>
      </c>
      <c r="CC44" s="601" t="str">
        <f>(CC8-CD8)/CD8</f>
      </c>
      <c r="CD44" s="601" t="str">
        <f>(CD8-CE8)/CE8</f>
      </c>
      <c r="CE44" s="601" t="str">
        <f>(CE8-CG44)/CG44</f>
      </c>
      <c r="CF44" s="158"/>
      <c r="CG44" s="602" t="str">
        <f>CH8+CI8</f>
      </c>
      <c r="CH44" s="158"/>
      <c r="CI44" s="601" t="str">
        <f>(CI8-CJ8)/CJ8</f>
      </c>
      <c r="CJ44" s="601" t="str">
        <f>(CJ8-CK8)/CK8</f>
      </c>
      <c r="CK44" s="601" t="str">
        <f>(CK8-CL8)/CL8</f>
      </c>
      <c r="CL44" s="601" t="str">
        <f>(CL8-CO44)/CO44</f>
      </c>
      <c r="CM44" s="601" t="str">
        <f>(CO44-CQ8)/CQ8</f>
      </c>
      <c r="CN44" s="158"/>
      <c r="CO44" s="603" t="str">
        <f>CP8+CM8</f>
      </c>
      <c r="CP44" s="158"/>
      <c r="CQ44" s="601" t="str">
        <f>(CQ8-CR8)/CR8</f>
      </c>
      <c r="CR44" s="604" t="str">
        <f>(CR8-CS8)/CS8</f>
      </c>
      <c r="CS44" s="601" t="str">
        <f>(CS8-CU44)/CU44</f>
      </c>
      <c r="CT44" s="601" t="str">
        <f>(CS8-CX8)/CX8</f>
      </c>
      <c r="CU44" s="602" t="n">
        <v>1642115</v>
      </c>
      <c r="CV44" s="158"/>
      <c r="CW44" s="158"/>
      <c r="CX44" s="604" t="str">
        <f>(CX8-CY8)/CY8</f>
      </c>
      <c r="CY44" s="601" t="str">
        <f>(CY8-CZ8)/CZ8</f>
      </c>
      <c r="CZ44" s="601" t="str">
        <f>(CZ8-DB44)/DB44</f>
      </c>
      <c r="DA44" s="604" t="str">
        <f>(DB44-DE8)/DE8</f>
      </c>
      <c r="DB44" s="602" t="n">
        <v>1682515</v>
      </c>
      <c r="DC44" s="158"/>
      <c r="DD44" s="158"/>
      <c r="DE44" s="604" t="str">
        <f>(DE8-DF8)/DF8</f>
      </c>
      <c r="DF44" s="604" t="str">
        <f>(DF8-DG8)/DG8</f>
      </c>
      <c r="DG44" s="604" t="str">
        <f>(DG8-DH8)/DH8</f>
      </c>
      <c r="DH44" s="604" t="str">
        <f>(DH8-DI44)/DI44</f>
      </c>
      <c r="DI44" s="605" t="str">
        <f>DI8+DL8</f>
      </c>
      <c r="DJ44" s="604" t="str">
        <f>(DI44-DM8)/DM8</f>
      </c>
      <c r="DK44" s="158"/>
      <c r="DL44" s="604"/>
      <c r="DM44" s="604" t="str">
        <f>(DM8-DN8)/DN8</f>
      </c>
      <c r="DN44" s="604" t="str">
        <f>(DN8-DO8)/DO8</f>
      </c>
      <c r="DO44" s="604"/>
      <c r="DP44" s="606"/>
      <c r="DQ44" s="604"/>
      <c r="DR44" s="606"/>
      <c r="DS44" s="605"/>
      <c r="DT44" s="604"/>
      <c r="DU44" s="604"/>
      <c r="DV44" s="158"/>
      <c r="DW44" s="158"/>
      <c r="DX44" s="605"/>
      <c r="DY44" s="606"/>
      <c r="DZ44" s="605" t="n">
        <v>504257.98</v>
      </c>
      <c r="EA44" s="604" t="str">
        <f>(EA8-EB8)/EB8</f>
      </c>
      <c r="EB44" s="604" t="str">
        <f>(EB8-EC8)/EC8</f>
      </c>
      <c r="EC44" s="604" t="str">
        <f>(EC8-ED8)/ED8</f>
      </c>
      <c r="ED44" s="604"/>
      <c r="EE44" s="606"/>
      <c r="EF44" s="158"/>
      <c r="EG44" s="158"/>
      <c r="EH44" s="158"/>
      <c r="EI44" s="604"/>
      <c r="EJ44" s="158"/>
      <c r="EK44" s="604"/>
      <c r="EL44" s="158"/>
      <c r="EM44" s="158"/>
      <c r="EN44" s="602"/>
      <c r="EO44" s="602"/>
      <c r="EP44" s="602"/>
      <c r="EQ44" s="158"/>
      <c r="ER44" s="158"/>
      <c r="ES44" s="158"/>
      <c r="ET44" s="158"/>
      <c r="EU44" s="158"/>
      <c r="EV44" s="158"/>
      <c r="EW44" s="607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608"/>
      <c r="GG44" s="608"/>
      <c r="GH44" s="608"/>
      <c r="GI44" s="608"/>
      <c r="GJ44" s="608"/>
      <c r="GK44" s="608"/>
      <c r="GL44" s="608"/>
      <c r="GM44" s="608"/>
      <c r="GN44" s="608"/>
      <c r="GO44" s="608"/>
      <c r="GP44" s="608"/>
      <c r="GQ44" s="608"/>
    </row>
    <row r="45" ht="15.75">
      <c r="A45" s="609" t="s">
        <v>154</v>
      </c>
      <c r="B45" s="588"/>
      <c r="C45" s="610" t="str">
        <f>C9/B9</f>
      </c>
      <c r="D45" s="601" t="str">
        <f>(D9-E9)/E9</f>
      </c>
      <c r="E45" s="601" t="str">
        <f>(E9-F9)/F9</f>
      </c>
      <c r="F45" s="601" t="str">
        <f>(F9-G9)/G9</f>
      </c>
      <c r="G45" s="601" t="str">
        <f>(G9-I9)/I9</f>
      </c>
      <c r="H45" s="589" t="str">
        <f>(H9-L9)/L9</f>
      </c>
      <c r="I45" s="589" t="str">
        <f>(I9-M9)/M9</f>
      </c>
      <c r="J45" s="590"/>
      <c r="K45" s="590"/>
      <c r="L45" s="590"/>
      <c r="M45" s="601" t="str">
        <f>(M9-N9)/N9</f>
      </c>
      <c r="N45" s="601" t="str">
        <f>(N9-O9)/O9</f>
      </c>
      <c r="O45" s="601" t="str">
        <f>(O9-P9)/P9</f>
      </c>
      <c r="P45" s="590"/>
      <c r="Q45" s="590"/>
      <c r="R45" s="590"/>
      <c r="S45" s="588"/>
      <c r="T45" s="601" t="str">
        <f>(T9-U9)/U9</f>
      </c>
      <c r="U45" s="601" t="str">
        <f>(U9-V9)/V9</f>
      </c>
      <c r="V45" s="601" t="str">
        <f>(V9-W9)/W9</f>
      </c>
      <c r="W45" s="601" t="str">
        <f>(W9-AA9)/AA9</f>
      </c>
      <c r="X45" s="588"/>
      <c r="Y45" s="590"/>
      <c r="Z45" s="590"/>
      <c r="AA45" s="589" t="str">
        <f>(AA9-AB9)/AB9</f>
      </c>
      <c r="AB45" s="589" t="str">
        <f>(AB9-AC9)/AC9</f>
      </c>
      <c r="AC45" s="589" t="str">
        <f>(AC9-AD9)/AD9</f>
      </c>
      <c r="AD45" s="589" t="str">
        <f>(AD9-AH9)/AH9</f>
      </c>
      <c r="AE45" s="588"/>
      <c r="AF45" s="590"/>
      <c r="AG45" s="590"/>
      <c r="AH45" s="589" t="str">
        <f>(AH9-AI9)/AI9</f>
      </c>
      <c r="AI45" s="589" t="str">
        <f>(AI9-AJ9)/AJ9</f>
      </c>
      <c r="AJ45" s="589" t="str">
        <f>(AJ9-AK9)/AK9</f>
      </c>
      <c r="AK45" s="589" t="str">
        <f>(AK9-AL9)/AL9</f>
      </c>
      <c r="AL45" s="589" t="str">
        <f>(AL9-AO9)/AO9</f>
      </c>
      <c r="AM45" s="3"/>
      <c r="AN45" s="3"/>
      <c r="AO45" s="589" t="str">
        <f>(AO9-AP9)/AP9</f>
      </c>
      <c r="AP45" s="589" t="str">
        <f>(AP9-AQ9)/AQ9</f>
      </c>
      <c r="AQ45" s="589" t="str">
        <f>(AQ9-AR9)/AR9</f>
      </c>
      <c r="AR45" s="589" t="str">
        <f>(AR9-AS9)/AS9</f>
      </c>
      <c r="AS45" s="589" t="str">
        <f>(AS9-AV9)/AV9</f>
      </c>
      <c r="AT45" s="3"/>
      <c r="AU45" s="3"/>
      <c r="AV45" s="589" t="str">
        <f>(AV9-AW9)/AW9</f>
      </c>
      <c r="AW45" s="589" t="str">
        <f>(AW9-AX9)/AX9</f>
      </c>
      <c r="AX45" s="589" t="str">
        <f>(AX9-AY9)/AY9</f>
      </c>
      <c r="AY45" s="589" t="str">
        <f>(AY9-BA9)/BA9</f>
      </c>
      <c r="AZ45" s="589"/>
      <c r="BA45" s="589" t="str">
        <f>(BA9-BE9)/BE9</f>
      </c>
      <c r="BB45" s="3"/>
      <c r="BC45" s="3"/>
      <c r="BD45" s="3"/>
      <c r="BE45" s="589" t="str">
        <f>(BE9-BF9)/BF9</f>
      </c>
      <c r="BF45" s="589" t="str">
        <f>(BF9-BG9)/BG9</f>
      </c>
      <c r="BG45" s="589" t="str">
        <f>(BG9-BI9)/BI9</f>
      </c>
      <c r="BH45" s="589"/>
      <c r="BI45" s="589" t="str">
        <f>(BI9-BM9)/BM9</f>
      </c>
      <c r="BJ45" s="589"/>
      <c r="BK45" s="3"/>
      <c r="BL45" s="589"/>
      <c r="BM45" s="589" t="str">
        <f>(BM9-BN9)/BN9</f>
      </c>
      <c r="BN45" s="589" t="str">
        <f>(BN9-BO9)/BO9</f>
      </c>
      <c r="BO45" s="589" t="str">
        <f>(BO9-BP9)/BP9</f>
      </c>
      <c r="BP45" s="589" t="str">
        <f>(BP9-BS9)/BS9</f>
      </c>
      <c r="BQ45" s="3"/>
      <c r="BR45" s="3"/>
      <c r="BS45" s="589" t="str">
        <f>(BS9-BT9)/BT9</f>
      </c>
      <c r="BT45" s="589" t="str">
        <f>(BT9-BU9)/BU9</f>
      </c>
      <c r="BU45" s="589" t="str">
        <f>(BU9-BV9)/BV9</f>
      </c>
      <c r="BV45" s="589" t="str">
        <f>(BV9-BX9)/BX9</f>
      </c>
      <c r="BW45" s="3"/>
      <c r="BX45" s="589" t="str">
        <f>(BX9-CB9)/CB9</f>
      </c>
      <c r="BY45" s="3"/>
      <c r="BZ45" s="3"/>
      <c r="CA45" s="589" t="str">
        <f>(CA9-CB9)/CB9</f>
      </c>
      <c r="CB45" s="589" t="str">
        <f>(CB9-CC9)/CC9</f>
      </c>
      <c r="CC45" s="589" t="str">
        <f>(CC9-CD9)/CD9</f>
      </c>
      <c r="CD45" s="589" t="str">
        <f>(CD9-CE9)/CE9</f>
      </c>
      <c r="CE45" s="589" t="str">
        <f>(CE9-CG45)/CG45</f>
      </c>
      <c r="CF45" s="3"/>
      <c r="CG45" s="592" t="str">
        <f>CH9+CI9</f>
      </c>
      <c r="CH45" s="3"/>
      <c r="CI45" s="589" t="str">
        <f>(CI9-CJ9)/CJ9</f>
      </c>
      <c r="CJ45" s="589" t="str">
        <f>(CJ9-CK9)/CK9</f>
      </c>
      <c r="CK45" s="589" t="str">
        <f>(CK9-CL9)/CL9</f>
      </c>
      <c r="CL45" s="589" t="str">
        <f>(CL9-CO45)/CO45</f>
      </c>
      <c r="CM45" s="589" t="str">
        <f>(CO45-CQ9)/CQ9</f>
      </c>
      <c r="CN45" s="3"/>
      <c r="CO45" s="592" t="str">
        <f>CP9+CM9</f>
      </c>
      <c r="CP45" s="3"/>
      <c r="CQ45" s="589" t="str">
        <f>(CQ9-CR9)/CR9</f>
      </c>
      <c r="CR45" s="591" t="str">
        <f>(CR9-CS9)/CS9</f>
      </c>
      <c r="CS45" s="589" t="str">
        <f>(CS9-CU45)/CU45</f>
      </c>
      <c r="CT45" s="589" t="str">
        <f>(CS9-CX9)/CX9</f>
      </c>
      <c r="CU45" s="592" t="n">
        <v>101</v>
      </c>
      <c r="CV45" s="3"/>
      <c r="CW45" s="3"/>
      <c r="CX45" s="591" t="str">
        <f>(CX9-CY9)/CY9</f>
      </c>
      <c r="CY45" s="591" t="str">
        <f>(CY9-CZ9)/CZ9</f>
      </c>
      <c r="CZ45" s="589" t="str">
        <f>(CZ9-DB45)/DB45</f>
      </c>
      <c r="DA45" s="591" t="str">
        <f>(DB45-DE9)/DE9</f>
      </c>
      <c r="DB45" s="3" t="n">
        <v>106</v>
      </c>
      <c r="DC45" s="3"/>
      <c r="DD45" s="3"/>
      <c r="DE45" s="591" t="str">
        <f>(DE9-DF9)/DF9</f>
      </c>
      <c r="DF45" s="591" t="str">
        <f>(DF9-DG9)/DG9</f>
      </c>
      <c r="DG45" s="591" t="str">
        <f>(DG9-DH9)/DH9</f>
      </c>
      <c r="DH45" s="591" t="str">
        <f>(DH9-DI45)/DI45</f>
      </c>
      <c r="DI45" s="193" t="n">
        <v>140</v>
      </c>
      <c r="DJ45" s="591" t="str">
        <f>(DI45-DM9)/DM9</f>
      </c>
      <c r="DK45" s="3"/>
      <c r="DL45" s="591"/>
      <c r="DM45" s="591" t="str">
        <f>(DM9-DN9)/DN9</f>
      </c>
      <c r="DN45" s="591" t="str">
        <f>(DN9-DO9)/DO9</f>
      </c>
      <c r="DO45" s="591"/>
      <c r="DP45" s="594"/>
      <c r="DQ45" s="591"/>
      <c r="DR45" s="594"/>
      <c r="DS45" s="594"/>
      <c r="DT45" s="591"/>
      <c r="DU45" s="591"/>
      <c r="DV45" s="3"/>
      <c r="DW45" s="3"/>
      <c r="DX45" s="594"/>
      <c r="DY45" s="594"/>
      <c r="DZ45" s="594" t="n">
        <v>46</v>
      </c>
      <c r="EA45" s="591" t="str">
        <f>(EA9-EB9)/EB9</f>
      </c>
      <c r="EB45" s="591" t="str">
        <f>(EB9-EC9)/EC9</f>
      </c>
      <c r="EC45" s="591" t="str">
        <f>(EC9-ED9)/ED9</f>
      </c>
      <c r="ED45" s="591"/>
      <c r="EE45" s="594"/>
      <c r="EF45" s="3"/>
      <c r="EG45" s="3"/>
      <c r="EH45" s="3"/>
      <c r="EI45" s="591"/>
      <c r="EJ45" s="3"/>
      <c r="EK45" s="591"/>
      <c r="EL45" s="3"/>
      <c r="EM45" s="3"/>
      <c r="EN45" s="592"/>
      <c r="EO45" s="592"/>
      <c r="EP45" s="592"/>
      <c r="EQ45" s="3"/>
      <c r="ER45" s="3"/>
      <c r="ES45" s="3"/>
      <c r="ET45" s="3"/>
      <c r="EU45" s="3"/>
      <c r="EV45" s="3"/>
      <c r="EW45" s="4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</row>
    <row r="46" ht="15.75">
      <c r="A46" s="173" t="s">
        <v>156</v>
      </c>
      <c r="B46" s="588"/>
      <c r="C46" s="610" t="str">
        <f>C11/B11</f>
      </c>
      <c r="D46" s="601" t="str">
        <f>(D11-E11)/E11</f>
      </c>
      <c r="E46" s="601" t="str">
        <f>(E11-F11)/F11</f>
      </c>
      <c r="F46" s="601" t="str">
        <f>(F11-G11)/G11</f>
      </c>
      <c r="G46" s="601" t="str">
        <f>(G11-I11)/I11</f>
      </c>
      <c r="H46" s="589" t="str">
        <f>(H11-L11)/L11</f>
      </c>
      <c r="I46" s="589" t="str">
        <f>(I11-M11)/M11</f>
      </c>
      <c r="J46" s="590"/>
      <c r="K46" s="590"/>
      <c r="L46" s="590"/>
      <c r="M46" s="601" t="str">
        <f>(M11-N11)/N11</f>
      </c>
      <c r="N46" s="601" t="str">
        <f>(N11-O11)/O11</f>
      </c>
      <c r="O46" s="601" t="str">
        <f>(O11-P11)/P11</f>
      </c>
      <c r="P46" s="590"/>
      <c r="Q46" s="590"/>
      <c r="R46" s="590"/>
      <c r="S46" s="588"/>
      <c r="T46" s="601" t="str">
        <f>(T11-U11)/U11</f>
      </c>
      <c r="U46" s="601" t="str">
        <f>(U11-V11)/V11</f>
      </c>
      <c r="V46" s="601" t="str">
        <f>(V11-W11)/W11</f>
      </c>
      <c r="W46" s="601" t="str">
        <f>(W11-AA11)/AA11</f>
      </c>
      <c r="X46" s="588"/>
      <c r="Y46" s="590"/>
      <c r="Z46" s="590"/>
      <c r="AA46" s="589" t="str">
        <f>(AA11-AB11)/AB11</f>
      </c>
      <c r="AB46" s="589" t="str">
        <f>(AB11-AC11)/AC11</f>
      </c>
      <c r="AC46" s="589" t="str">
        <f>(AC11-AD11)/AD11</f>
      </c>
      <c r="AD46" s="589" t="str">
        <f>(AD11-AH11)/AH11</f>
      </c>
      <c r="AE46" s="588"/>
      <c r="AF46" s="590"/>
      <c r="AG46" s="590"/>
      <c r="AH46" s="589"/>
      <c r="AI46" s="589"/>
      <c r="AJ46" s="589"/>
      <c r="AK46" s="589"/>
      <c r="AL46" s="589"/>
      <c r="AM46" s="3"/>
      <c r="AN46" s="3"/>
      <c r="AO46" s="589"/>
      <c r="AP46" s="589"/>
      <c r="AQ46" s="589"/>
      <c r="AR46" s="589"/>
      <c r="AS46" s="589"/>
      <c r="AT46" s="3"/>
      <c r="AU46" s="3"/>
      <c r="AV46" s="589"/>
      <c r="AW46" s="589"/>
      <c r="AX46" s="589"/>
      <c r="AY46" s="589"/>
      <c r="AZ46" s="589"/>
      <c r="BA46" s="589"/>
      <c r="BB46" s="3"/>
      <c r="BC46" s="3"/>
      <c r="BD46" s="3"/>
      <c r="BE46" s="589"/>
      <c r="BF46" s="589"/>
      <c r="BG46" s="589"/>
      <c r="BH46" s="589"/>
      <c r="BI46" s="589"/>
      <c r="BJ46" s="589"/>
      <c r="BK46" s="3"/>
      <c r="BL46" s="589"/>
      <c r="BM46" s="589"/>
      <c r="BN46" s="589"/>
      <c r="BO46" s="589"/>
      <c r="BP46" s="589"/>
      <c r="BQ46" s="3"/>
      <c r="BR46" s="3"/>
      <c r="BS46" s="589"/>
      <c r="BT46" s="589"/>
      <c r="BU46" s="589"/>
      <c r="BV46" s="589"/>
      <c r="BW46" s="3"/>
      <c r="BX46" s="589"/>
      <c r="BY46" s="3"/>
      <c r="BZ46" s="3"/>
      <c r="CA46" s="589"/>
      <c r="CB46" s="589"/>
      <c r="CC46" s="589"/>
      <c r="CD46" s="589"/>
      <c r="CE46" s="589"/>
      <c r="CF46" s="3"/>
      <c r="CG46" s="592"/>
      <c r="CH46" s="3"/>
      <c r="CI46" s="589"/>
      <c r="CJ46" s="589"/>
      <c r="CK46" s="589"/>
      <c r="CL46" s="589"/>
      <c r="CM46" s="589"/>
      <c r="CN46" s="3"/>
      <c r="CO46" s="592"/>
      <c r="CP46" s="3"/>
      <c r="CQ46" s="589"/>
      <c r="CR46" s="591"/>
      <c r="CS46" s="589"/>
      <c r="CT46" s="589"/>
      <c r="CU46" s="592"/>
      <c r="CV46" s="3"/>
      <c r="CW46" s="3"/>
      <c r="CX46" s="591"/>
      <c r="CY46" s="591"/>
      <c r="CZ46" s="589"/>
      <c r="DA46" s="591"/>
      <c r="DB46" s="3"/>
      <c r="DC46" s="3"/>
      <c r="DD46" s="3"/>
      <c r="DE46" s="591"/>
      <c r="DF46" s="591"/>
      <c r="DG46" s="591"/>
      <c r="DH46" s="591"/>
      <c r="DI46" s="193"/>
      <c r="DJ46" s="591"/>
      <c r="DK46" s="3"/>
      <c r="DL46" s="591"/>
      <c r="DM46" s="591"/>
      <c r="DN46" s="591"/>
      <c r="DO46" s="591"/>
      <c r="DP46" s="594"/>
      <c r="DQ46" s="591"/>
      <c r="DR46" s="594"/>
      <c r="DS46" s="594"/>
      <c r="DT46" s="591"/>
      <c r="DU46" s="591"/>
      <c r="DV46" s="3"/>
      <c r="DW46" s="3"/>
      <c r="DX46" s="594"/>
      <c r="DY46" s="594"/>
      <c r="DZ46" s="594"/>
      <c r="EA46" s="591"/>
      <c r="EB46" s="591"/>
      <c r="EC46" s="591"/>
      <c r="ED46" s="591"/>
      <c r="EE46" s="594"/>
      <c r="EF46" s="3"/>
      <c r="EG46" s="3"/>
      <c r="EH46" s="3"/>
      <c r="EI46" s="591"/>
      <c r="EJ46" s="3"/>
      <c r="EK46" s="591"/>
      <c r="EL46" s="3"/>
      <c r="EM46" s="3"/>
      <c r="EN46" s="592"/>
      <c r="EO46" s="592"/>
      <c r="EP46" s="592"/>
      <c r="EQ46" s="3"/>
      <c r="ER46" s="3"/>
      <c r="ES46" s="3"/>
      <c r="ET46" s="3"/>
      <c r="EU46" s="3"/>
      <c r="EV46" s="3"/>
      <c r="EW46" s="4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</row>
    <row r="47" ht="15.75">
      <c r="A47" s="611" t="s">
        <v>244</v>
      </c>
      <c r="B47" s="588"/>
      <c r="C47" s="588"/>
      <c r="D47" s="589" t="str">
        <f>(D13-E13)/E13</f>
      </c>
      <c r="E47" s="589" t="str">
        <f>(E13-F13)/F13</f>
      </c>
      <c r="F47" s="589" t="str">
        <f>(F13-G3)/G13</f>
      </c>
      <c r="G47" s="589" t="str">
        <f>(G13-I13)/I13</f>
      </c>
      <c r="H47" s="589" t="str">
        <f>(H13-L13)/L13</f>
      </c>
      <c r="I47" s="589" t="str">
        <f>(I13-M13)/M13</f>
      </c>
      <c r="J47" s="590"/>
      <c r="K47" s="590"/>
      <c r="L47" s="590"/>
      <c r="M47" s="589" t="str">
        <f>(M13-N13)/N13</f>
      </c>
      <c r="N47" s="589" t="str">
        <f>(N13-O13)/O13</f>
      </c>
      <c r="O47" s="589" t="str">
        <f>(O13-P13)/P13</f>
      </c>
      <c r="P47" s="590"/>
      <c r="Q47" s="590"/>
      <c r="R47" s="590"/>
      <c r="S47" s="588"/>
      <c r="T47" s="589" t="str">
        <f>(T10-U10)/U10</f>
      </c>
      <c r="U47" s="589" t="str">
        <f>(U10-V10)/V10</f>
      </c>
      <c r="V47" s="589" t="str">
        <f>(V10-W10)/W10</f>
      </c>
      <c r="W47" s="589" t="str">
        <f>(W10-AA10)/AA10</f>
      </c>
      <c r="X47" s="588"/>
      <c r="Y47" s="590"/>
      <c r="Z47" s="590"/>
      <c r="AA47" s="589" t="str">
        <f>(AA10-AB10)/AB10</f>
      </c>
      <c r="AB47" s="589" t="str">
        <f>(AB10-AC10)/AC10</f>
      </c>
      <c r="AC47" s="589" t="str">
        <f>(AC10-AD10)/AD10</f>
      </c>
      <c r="AD47" s="589" t="str">
        <f>(AD10-AH10)/AH10</f>
      </c>
      <c r="AE47" s="588"/>
      <c r="AF47" s="590"/>
      <c r="AG47" s="590"/>
      <c r="AH47" s="589" t="str">
        <f>(AH10-AI10)/AI10</f>
      </c>
      <c r="AI47" s="589" t="str">
        <f>(AI10-AJ10)/AJ10</f>
      </c>
      <c r="AJ47" s="589" t="str">
        <f>(AJ10-AK10)/AK10</f>
      </c>
      <c r="AK47" s="589" t="str">
        <f>(AK10-AL10)/AL10</f>
      </c>
      <c r="AL47" s="589" t="str">
        <f>(AL10-AO10)/AO10</f>
      </c>
      <c r="AM47" s="3"/>
      <c r="AN47" s="3"/>
      <c r="AO47" s="589" t="str">
        <f>(AO10-AP10)/AP10</f>
      </c>
      <c r="AP47" s="589" t="str">
        <f>(AP10-AQ10)/AQ10</f>
      </c>
      <c r="AQ47" s="589" t="str">
        <f>(AQ10-AR10)/AR10</f>
      </c>
      <c r="AR47" s="589" t="str">
        <f>(AR10-AS10)/AS10</f>
      </c>
      <c r="AS47" s="589" t="str">
        <f>(AS10-AV10)/AV10</f>
      </c>
      <c r="AT47" s="3"/>
      <c r="AU47" s="3"/>
      <c r="AV47" s="589" t="str">
        <f>(AV10-AW10)/AW10</f>
      </c>
      <c r="AW47" s="589" t="str">
        <f>(AW10-AX10)/AX10</f>
      </c>
      <c r="AX47" s="589" t="str">
        <f>(AX10-AY10)/AY10</f>
      </c>
      <c r="AY47" s="589" t="str">
        <f>(AY10-BA10)/BA10</f>
      </c>
      <c r="AZ47" s="589"/>
      <c r="BA47" s="589" t="str">
        <f>(BA10-BE10)/BE10</f>
      </c>
      <c r="BB47" s="3"/>
      <c r="BC47" s="3"/>
      <c r="BD47" s="3"/>
      <c r="BE47" s="589" t="str">
        <f>(BE10-BF10)/BF10</f>
      </c>
      <c r="BF47" s="589" t="str">
        <f>(BF10-BG10)/BG10</f>
      </c>
      <c r="BG47" s="589" t="str">
        <f>(BG10-BI10)/BI10</f>
      </c>
      <c r="BH47" s="589"/>
      <c r="BI47" s="589" t="str">
        <f>(BI10-BM10)/BM10</f>
      </c>
      <c r="BJ47" s="589"/>
      <c r="BK47" s="3"/>
      <c r="BL47" s="589"/>
      <c r="BM47" s="589" t="str">
        <f>(BM10-BN10)/BN10</f>
      </c>
      <c r="BN47" s="589" t="str">
        <f>(BN10-BO10)/BO10</f>
      </c>
      <c r="BO47" s="589" t="str">
        <f>(BO10-BP10)/BP10</f>
      </c>
      <c r="BP47" s="589" t="str">
        <f>(BP10-BS10)/BS10</f>
      </c>
      <c r="BQ47" s="3"/>
      <c r="BR47" s="3"/>
      <c r="BS47" s="589" t="str">
        <f>(BS10-BT10)/BT10</f>
      </c>
      <c r="BT47" s="589" t="str">
        <f>(BT10-BU10)/BU10</f>
      </c>
      <c r="BU47" s="589" t="str">
        <f>(BU10-BV10)/BV10</f>
      </c>
      <c r="BV47" s="589" t="str">
        <f>(BV10-BX10)/BX10</f>
      </c>
      <c r="BW47" s="3"/>
      <c r="BX47" s="589" t="str">
        <f>(BX10-CB10)/CB10</f>
      </c>
      <c r="BY47" s="3"/>
      <c r="BZ47" s="3"/>
      <c r="CA47" s="589" t="str">
        <f>(CA10-CB10)/CB10</f>
      </c>
      <c r="CB47" s="589" t="str">
        <f>(CB10-CC10)/CC10</f>
      </c>
      <c r="CC47" s="589" t="str">
        <f>(CC10-CD10)/CD10</f>
      </c>
      <c r="CD47" s="589" t="str">
        <f>(CD10-CE10)/CE10</f>
      </c>
      <c r="CE47" s="589" t="str">
        <f>(CE10-CG47)/CG47</f>
      </c>
      <c r="CF47" s="3"/>
      <c r="CG47" s="592" t="str">
        <f>CG44/CG45</f>
      </c>
      <c r="CH47" s="3"/>
      <c r="CI47" s="589" t="str">
        <f>(CI10-CJ10)/CJ10</f>
      </c>
      <c r="CJ47" s="589" t="str">
        <f>(CJ10-CK10)/CK10</f>
      </c>
      <c r="CK47" s="589" t="str">
        <f>(CK10-CL10)/CL10</f>
      </c>
      <c r="CL47" s="589" t="str">
        <f>(CL10-CO47)/CO47</f>
      </c>
      <c r="CM47" s="589" t="str">
        <f>(CO47-CQ10)/CQ10</f>
      </c>
      <c r="CN47" s="3"/>
      <c r="CO47" s="593" t="str">
        <f>CO44/CO45</f>
      </c>
      <c r="CP47" s="3"/>
      <c r="CQ47" s="589" t="str">
        <f>(CQ10-CR10)/CR10</f>
      </c>
      <c r="CR47" s="591" t="str">
        <f>(CR10-CS10)/CS10</f>
      </c>
      <c r="CS47" s="589" t="str">
        <f>(CS10-CU47)/CU47</f>
      </c>
      <c r="CT47" s="589" t="str">
        <f>(CS10-CX10)/CX10</f>
      </c>
      <c r="CU47" s="592" t="n">
        <v>16259</v>
      </c>
      <c r="CV47" s="3"/>
      <c r="CW47" s="3"/>
      <c r="CX47" s="591" t="str">
        <f>(CX10-CY10)/CY10</f>
      </c>
      <c r="CY47" s="589" t="str">
        <f>(CY10-CZ10)/CZ10</f>
      </c>
      <c r="CZ47" s="591" t="str">
        <f>(CZ10-DB47)/DB47</f>
      </c>
      <c r="DA47" s="591" t="str">
        <f>(DB47-DE10)/DE10</f>
      </c>
      <c r="DB47" s="612" t="str">
        <f>DB44/DB45</f>
      </c>
      <c r="DC47" s="3"/>
      <c r="DD47" s="3"/>
      <c r="DE47" s="591" t="str">
        <f>(DE10-DF10)/DF10</f>
      </c>
      <c r="DF47" s="591" t="str">
        <f>(DF10-DG10)/DG10</f>
      </c>
      <c r="DG47" s="591" t="str">
        <f>(DG10-DH10)/DH10</f>
      </c>
      <c r="DH47" s="591" t="str">
        <f>(DH10-DI47)/DI47</f>
      </c>
      <c r="DI47" s="113" t="str">
        <f>DI44/DI45</f>
      </c>
      <c r="DJ47" s="591" t="str">
        <f>(DI47-DM10)/DM10</f>
      </c>
      <c r="DK47" s="3"/>
      <c r="DL47" s="591"/>
      <c r="DM47" s="591" t="str">
        <f>(DM10-DN10)/DN10</f>
      </c>
      <c r="DN47" s="591" t="str">
        <f>(DN10-DO10)/DO10</f>
      </c>
      <c r="DO47" s="591"/>
      <c r="DP47" s="594"/>
      <c r="DQ47" s="591"/>
      <c r="DR47" s="591"/>
      <c r="DS47" s="595"/>
      <c r="DT47" s="591"/>
      <c r="DU47" s="591"/>
      <c r="DV47" s="3"/>
      <c r="DW47" s="3"/>
      <c r="DX47" s="595"/>
      <c r="DY47" s="594"/>
      <c r="DZ47" s="595" t="n">
        <v>10962.13</v>
      </c>
      <c r="EA47" s="591" t="str">
        <f>(EA10-EB10)/EB10</f>
      </c>
      <c r="EB47" s="591" t="str">
        <f>(EB10-EC10)/EC10</f>
      </c>
      <c r="EC47" s="591" t="str">
        <f>(EC10-ED10)/ED10</f>
      </c>
      <c r="ED47" s="591"/>
      <c r="EE47" s="613"/>
      <c r="EF47" s="3"/>
      <c r="EG47" s="3"/>
      <c r="EH47" s="3"/>
      <c r="EI47" s="591"/>
      <c r="EJ47" s="3"/>
      <c r="EK47" s="591"/>
      <c r="EL47" s="3"/>
      <c r="EM47" s="3"/>
      <c r="EN47" s="592"/>
      <c r="EO47" s="592"/>
      <c r="EP47" s="595"/>
      <c r="EQ47" s="3"/>
      <c r="ER47" s="3"/>
      <c r="ES47" s="3"/>
      <c r="ET47" s="594"/>
      <c r="EU47" s="594"/>
      <c r="EV47" s="3"/>
      <c r="EW47" s="4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</row>
    <row r="48" ht="15.75">
      <c r="A48" s="611" t="s">
        <v>159</v>
      </c>
      <c r="B48" s="598"/>
      <c r="C48" s="598"/>
      <c r="D48" s="589" t="str">
        <f>(D14-E14)/E14</f>
      </c>
      <c r="E48" s="589" t="str">
        <f>(E14-F14)/F14</f>
      </c>
      <c r="F48" s="589" t="str">
        <f>(F14-G14)/G14</f>
      </c>
      <c r="G48" s="589" t="str">
        <f>(G14-I14)/I14</f>
      </c>
      <c r="H48" s="589" t="str">
        <f>(H14-L14)/L14</f>
      </c>
      <c r="I48" s="589" t="str">
        <f>(I14-M14)/M14</f>
      </c>
      <c r="J48" s="600"/>
      <c r="K48" s="600"/>
      <c r="L48" s="600"/>
      <c r="M48" s="589" t="str">
        <f>(M14-N14)/N14</f>
      </c>
      <c r="N48" s="589" t="str">
        <f>(N14-O14)/O14</f>
      </c>
      <c r="O48" s="589" t="str">
        <f>(O14-P14)/P14</f>
      </c>
      <c r="P48" s="600"/>
      <c r="Q48" s="600"/>
      <c r="R48" s="600"/>
      <c r="S48" s="598"/>
      <c r="T48" s="589" t="str">
        <f>(T14-U14)/U14</f>
      </c>
      <c r="U48" s="589" t="str">
        <f>(U14-V14)/V14</f>
      </c>
      <c r="V48" s="589" t="str">
        <f>(V14-W14)/W14</f>
      </c>
      <c r="W48" s="589" t="str">
        <f>(W14-AA14)/AA14</f>
      </c>
      <c r="X48" s="598"/>
      <c r="Y48" s="600"/>
      <c r="Z48" s="600"/>
      <c r="AA48" s="589" t="str">
        <f>(AA14-AB14)/AB14</f>
      </c>
      <c r="AB48" s="589" t="str">
        <f>(AB14-AC14)/AC14</f>
      </c>
      <c r="AC48" s="589" t="str">
        <f>(AC14-AD14)/AD14</f>
      </c>
      <c r="AD48" s="589" t="str">
        <f>(AD14-AH14)/AH14</f>
      </c>
      <c r="AE48" s="598"/>
      <c r="AF48" s="600"/>
      <c r="AG48" s="600"/>
      <c r="AH48" s="589" t="str">
        <f>(AH14-AI14)/AI14</f>
      </c>
      <c r="AI48" s="589" t="str">
        <f>(AI14-AJ14)/AJ14</f>
      </c>
      <c r="AJ48" s="589" t="str">
        <f>(AJ14-AK14)/AK14</f>
      </c>
      <c r="AK48" s="589" t="str">
        <f>(AK14-AL14)/AL14</f>
      </c>
      <c r="AL48" s="589" t="str">
        <f>(AL14-AO14)/AO14</f>
      </c>
      <c r="AM48" s="158"/>
      <c r="AN48" s="158"/>
      <c r="AO48" s="589" t="str">
        <f>(AO14-AP14)/AP14</f>
      </c>
      <c r="AP48" s="589" t="str">
        <f>(AP14-AQ14)/AQ14</f>
      </c>
      <c r="AQ48" s="589" t="str">
        <f>(AQ14-AR14)/AR14</f>
      </c>
      <c r="AR48" s="589" t="str">
        <f>(AR14-AS14)/AS14</f>
      </c>
      <c r="AS48" s="601" t="str">
        <f>(AS14-AV14)/AV14</f>
      </c>
      <c r="AT48" s="158"/>
      <c r="AU48" s="158"/>
      <c r="AV48" s="601" t="str">
        <f>(AV14-AW14)/AW14</f>
      </c>
      <c r="AW48" s="601" t="str">
        <f>(AW14-AX14)/AX14</f>
      </c>
      <c r="AX48" s="601" t="str">
        <f>(AX14-AY14)/AY14</f>
      </c>
      <c r="AY48" s="601" t="str">
        <f>(AY14-BA14)/BA14</f>
      </c>
      <c r="AZ48" s="601"/>
      <c r="BA48" s="601" t="str">
        <f>(BA14-BE14)/BE14</f>
      </c>
      <c r="BB48" s="158"/>
      <c r="BC48" s="158"/>
      <c r="BD48" s="158"/>
      <c r="BE48" s="601" t="str">
        <f>(BE14-BF14)/BF14</f>
      </c>
      <c r="BF48" s="601" t="str">
        <f>(BF14-BG14)/BG14</f>
      </c>
      <c r="BG48" s="601" t="str">
        <f>(BG14-BI14)/BI14</f>
      </c>
      <c r="BH48" s="601"/>
      <c r="BI48" s="601" t="str">
        <f>(BI14-BM14)/BM14</f>
      </c>
      <c r="BJ48" s="601"/>
      <c r="BK48" s="158"/>
      <c r="BL48" s="601"/>
      <c r="BM48" s="601" t="str">
        <f>(BM14-BN14)/BN14</f>
      </c>
      <c r="BN48" s="601" t="str">
        <f>(BN14-BO14)/BO14</f>
      </c>
      <c r="BO48" s="601" t="str">
        <f>(BO14-BP14)/BP14</f>
      </c>
      <c r="BP48" s="601" t="str">
        <f>(BP14-BS14)/BS14</f>
      </c>
      <c r="BQ48" s="158"/>
      <c r="BR48" s="158"/>
      <c r="BS48" s="601" t="str">
        <f>(BS14-BT14)/BT14</f>
      </c>
      <c r="BT48" s="601" t="str">
        <f>(BT14-BU14)/BU14</f>
      </c>
      <c r="BU48" s="601" t="str">
        <f>(BU14-BV14)/BV14</f>
      </c>
      <c r="BV48" s="601" t="str">
        <f>(BV14-BX14)/BX14</f>
      </c>
      <c r="BW48" s="158"/>
      <c r="BX48" s="601" t="str">
        <f>(BX14-CB14)/CB14</f>
      </c>
      <c r="BY48" s="158"/>
      <c r="BZ48" s="158"/>
      <c r="CA48" s="601" t="str">
        <f>(CA14-CB14)/CB14</f>
      </c>
      <c r="CB48" s="601" t="str">
        <f>(CB14-CC14)/CC14</f>
      </c>
      <c r="CC48" s="601" t="str">
        <f>(CC14-CD14)/CD14</f>
      </c>
      <c r="CD48" s="601" t="str">
        <f>(CD14-CE14)/CE14</f>
      </c>
      <c r="CE48" s="601" t="str">
        <f>(CE14-CG48)/CG48</f>
      </c>
      <c r="CF48" s="158"/>
      <c r="CG48" s="602" t="str">
        <f>CH14+CI14</f>
      </c>
      <c r="CH48" s="158"/>
      <c r="CI48" s="601" t="str">
        <f>(CI14-CJ14)/CJ14</f>
      </c>
      <c r="CJ48" s="601" t="str">
        <f>(CJ14-CK14)/CK14</f>
      </c>
      <c r="CK48" s="601" t="str">
        <f>(CK14-CL14)/CL14</f>
      </c>
      <c r="CL48" s="601" t="str">
        <f>(CL14-CO48)/CO48</f>
      </c>
      <c r="CM48" s="601" t="str">
        <f>(CO48-CQ14)/CQ14</f>
      </c>
      <c r="CN48" s="158"/>
      <c r="CO48" s="603" t="str">
        <f>CP14+CM14</f>
      </c>
      <c r="CP48" s="158"/>
      <c r="CQ48" s="601" t="str">
        <f>(CQ14-CR14)/CQ14</f>
      </c>
      <c r="CR48" s="601" t="str">
        <f>(CR14-CS14)/CR14</f>
      </c>
      <c r="CS48" s="601" t="str">
        <f>(CS14-CU48)/CU48</f>
      </c>
      <c r="CT48" s="601" t="str">
        <f>(CS14-CX14)/CX14</f>
      </c>
      <c r="CU48" s="602" t="n">
        <v>1007800</v>
      </c>
      <c r="CV48" s="158"/>
      <c r="CW48" s="158"/>
      <c r="CX48" s="604" t="str">
        <f>(CX12-CY12)/CY12</f>
      </c>
      <c r="CY48" s="604" t="str">
        <f>(CY12-CZ12)/CZ12</f>
      </c>
      <c r="CZ48" s="601" t="str">
        <f>(CZ14-DB52)/DB52</f>
      </c>
      <c r="DA48" s="604" t="str">
        <f>(DB48-DE12)/DE12</f>
      </c>
      <c r="DB48" s="601" t="str">
        <f>DB43/DB44</f>
      </c>
      <c r="DC48" s="158"/>
      <c r="DD48" s="158"/>
      <c r="DE48" s="604" t="str">
        <f>(DE12-DF12)/DF12</f>
      </c>
      <c r="DF48" s="604" t="str">
        <f>(DF12-DG12)/DG12</f>
      </c>
      <c r="DG48" s="604" t="str">
        <f>(DG12-DH12)/DH12</f>
      </c>
      <c r="DH48" s="604" t="str">
        <f>(DH12-DI48)/DI48</f>
      </c>
      <c r="DI48" s="614" t="str">
        <f>DI43/DI44</f>
      </c>
      <c r="DJ48" s="604" t="str">
        <f>(DI48-DM12)/DM12</f>
      </c>
      <c r="DK48" s="158"/>
      <c r="DL48" s="604"/>
      <c r="DM48" s="604" t="str">
        <f>(DM12-DN12)/DN12</f>
      </c>
      <c r="DN48" s="604" t="str">
        <f>(DN12-DO12)/DO12</f>
      </c>
      <c r="DO48" s="604"/>
      <c r="DP48" s="606"/>
      <c r="DQ48" s="604"/>
      <c r="DR48" s="606"/>
      <c r="DS48" s="605"/>
      <c r="DT48" s="604"/>
      <c r="DU48" s="604"/>
      <c r="DV48" s="158"/>
      <c r="DW48" s="158"/>
      <c r="DX48" s="604"/>
      <c r="DY48" s="606"/>
      <c r="DZ48" s="601" t="n">
        <v>0.197567760851301</v>
      </c>
      <c r="EA48" s="604" t="str">
        <f>(EA12-EB12)/EB12</f>
      </c>
      <c r="EB48" s="604" t="str">
        <f>(EB12-EC12)/EC12</f>
      </c>
      <c r="EC48" s="604" t="str">
        <f>(EC12-ED12)/ED12</f>
      </c>
      <c r="ED48" s="604"/>
      <c r="EE48" s="606"/>
      <c r="EF48" s="158"/>
      <c r="EG48" s="158"/>
      <c r="EH48" s="158"/>
      <c r="EI48" s="604"/>
      <c r="EJ48" s="158"/>
      <c r="EK48" s="604"/>
      <c r="EL48" s="158"/>
      <c r="EM48" s="158"/>
      <c r="EN48" s="602"/>
      <c r="EO48" s="602"/>
      <c r="EP48" s="605"/>
      <c r="EQ48" s="158"/>
      <c r="ER48" s="158"/>
      <c r="ES48" s="158"/>
      <c r="ET48" s="158"/>
      <c r="EU48" s="158"/>
      <c r="EV48" s="158"/>
      <c r="EW48" s="607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  <c r="FK48" s="158"/>
      <c r="FL48" s="158"/>
      <c r="FM48" s="158"/>
      <c r="FN48" s="158"/>
      <c r="FO48" s="158"/>
      <c r="FP48" s="158"/>
      <c r="FQ48" s="158"/>
      <c r="FR48" s="158"/>
      <c r="FS48" s="158"/>
      <c r="FT48" s="158"/>
      <c r="FU48" s="158"/>
      <c r="FV48" s="158"/>
      <c r="FW48" s="158"/>
      <c r="FX48" s="158"/>
      <c r="FY48" s="158"/>
      <c r="FZ48" s="158"/>
      <c r="GA48" s="158"/>
      <c r="GB48" s="158"/>
      <c r="GC48" s="158"/>
      <c r="GD48" s="158"/>
      <c r="GE48" s="158"/>
      <c r="GF48" s="608"/>
      <c r="GG48" s="608"/>
      <c r="GH48" s="608"/>
      <c r="GI48" s="608"/>
      <c r="GJ48" s="608"/>
      <c r="GK48" s="608"/>
      <c r="GL48" s="608"/>
      <c r="GM48" s="608"/>
      <c r="GN48" s="608"/>
      <c r="GO48" s="608"/>
      <c r="GP48" s="608"/>
      <c r="GQ48" s="608"/>
    </row>
    <row r="49" ht="15.75">
      <c r="A49" s="609" t="s">
        <v>245</v>
      </c>
      <c r="B49" s="588"/>
      <c r="C49" s="610" t="str">
        <f>C15/B15</f>
      </c>
      <c r="D49" s="601" t="str">
        <f>(D15-E15)/E15</f>
      </c>
      <c r="E49" s="601" t="str">
        <f>(E15-F15)/F15</f>
      </c>
      <c r="F49" s="601" t="str">
        <f>(F15-G15)/G15</f>
      </c>
      <c r="G49" s="601" t="str">
        <f>(G15-I15)/I15</f>
      </c>
      <c r="H49" s="601" t="str">
        <f>(H15-L15)/L15</f>
      </c>
      <c r="I49" s="601" t="str">
        <f>(I15-M15)/M15</f>
      </c>
      <c r="J49" s="590"/>
      <c r="K49" s="590"/>
      <c r="L49" s="590"/>
      <c r="M49" s="601" t="str">
        <f>(M15-N15)/N15</f>
      </c>
      <c r="N49" s="601" t="str">
        <f>(N15-O15)/O15</f>
      </c>
      <c r="O49" s="601" t="str">
        <f>(O15-P15)/P15</f>
      </c>
      <c r="P49" s="590"/>
      <c r="Q49" s="590"/>
      <c r="R49" s="590"/>
      <c r="S49" s="588"/>
      <c r="T49" s="601" t="str">
        <f>(T15-U15)/U15</f>
      </c>
      <c r="U49" s="601" t="str">
        <f>(U15-V15)/V15</f>
      </c>
      <c r="V49" s="601" t="str">
        <f>(V15-W15)/W15</f>
      </c>
      <c r="W49" s="601" t="str">
        <f>(W15-AA15)/AA15</f>
      </c>
      <c r="X49" s="588"/>
      <c r="Y49" s="590"/>
      <c r="Z49" s="590"/>
      <c r="AA49" s="589" t="str">
        <f>(AA15-AB15)/AB15</f>
      </c>
      <c r="AB49" s="589" t="str">
        <f>(AB15-AC15)/AC15</f>
      </c>
      <c r="AC49" s="589" t="str">
        <f>(AC15-AD15)/AD15</f>
      </c>
      <c r="AD49" s="589" t="str">
        <f>(AD15-AH15)/AH15</f>
      </c>
      <c r="AE49" s="588"/>
      <c r="AF49" s="590"/>
      <c r="AG49" s="590"/>
      <c r="AH49" s="589" t="str">
        <f>(AH15-AI15)/AI15</f>
      </c>
      <c r="AI49" s="589" t="str">
        <f>(AI15-AJ15)/AJ15</f>
      </c>
      <c r="AJ49" s="589" t="str">
        <f>(AJ15-AK15)/AK15</f>
      </c>
      <c r="AK49" s="589" t="str">
        <f>(AK15-AL15)/AL15</f>
      </c>
      <c r="AL49" s="589" t="str">
        <f>(AL15-AO15)/AO15</f>
      </c>
      <c r="AM49" s="3"/>
      <c r="AN49" s="3"/>
      <c r="AO49" s="589" t="str">
        <f>(AO15-AP15)/AP15</f>
      </c>
      <c r="AP49" s="589" t="str">
        <f>(AP15-AQ15)/AQ15</f>
      </c>
      <c r="AQ49" s="589" t="str">
        <f>(AQ15-AR15)/AR15</f>
      </c>
      <c r="AR49" s="589" t="str">
        <f>(AR15-AS15)/AS15</f>
      </c>
      <c r="AS49" s="601" t="str">
        <f>(AS15-AV15)/AV15</f>
      </c>
      <c r="AT49" s="3"/>
      <c r="AU49" s="3"/>
      <c r="AV49" s="589" t="str">
        <f>(AV15-AW15)/AW15</f>
      </c>
      <c r="AW49" s="589" t="str">
        <f>(AW15-AX15)/AX15</f>
      </c>
      <c r="AX49" s="589" t="str">
        <f>(AX15-AY15)/AY15</f>
      </c>
      <c r="AY49" s="589" t="str">
        <f>(AY15-BA15)/BA15</f>
      </c>
      <c r="AZ49" s="589"/>
      <c r="BA49" s="589" t="str">
        <f>(BA15-BE15)/BE15</f>
      </c>
      <c r="BB49" s="3"/>
      <c r="BC49" s="3"/>
      <c r="BD49" s="3"/>
      <c r="BE49" s="589" t="str">
        <f>(BE15-BF15)/BF15</f>
      </c>
      <c r="BF49" s="589" t="str">
        <f>(BF15-BG15)/BG15</f>
      </c>
      <c r="BG49" s="589" t="str">
        <f>(BG15-BI15)/BI15</f>
      </c>
      <c r="BH49" s="589"/>
      <c r="BI49" s="589" t="str">
        <f>(BI15-BM15)/BM15</f>
      </c>
      <c r="BJ49" s="589"/>
      <c r="BK49" s="3"/>
      <c r="BL49" s="589"/>
      <c r="BM49" s="589" t="str">
        <f>(BM15-BN15)/BN15</f>
      </c>
      <c r="BN49" s="589" t="str">
        <f>(BN15-BO15)/BO15</f>
      </c>
      <c r="BO49" s="589" t="str">
        <f>(BO15-BP15)/BP15</f>
      </c>
      <c r="BP49" s="589" t="str">
        <f>(BP15-BS15)/BS15</f>
      </c>
      <c r="BQ49" s="3"/>
      <c r="BR49" s="3"/>
      <c r="BS49" s="589" t="str">
        <f>(BS15-BT15)/BT15</f>
      </c>
      <c r="BT49" s="589" t="str">
        <f>(BT15-BU15)/BU15</f>
      </c>
      <c r="BU49" s="589" t="str">
        <f>(BU15-BV15)/BV15</f>
      </c>
      <c r="BV49" s="589" t="str">
        <f>(BV15-BX15)/BX15</f>
      </c>
      <c r="BW49" s="3"/>
      <c r="BX49" s="589" t="str">
        <f>(BX15-CB15)/CB15</f>
      </c>
      <c r="BY49" s="3"/>
      <c r="BZ49" s="3"/>
      <c r="CA49" s="589" t="str">
        <f>(CA15-CB15)/CB15</f>
      </c>
      <c r="CB49" s="589" t="str">
        <f>(CB15-CC15)/CC15</f>
      </c>
      <c r="CC49" s="589" t="str">
        <f>(CC15-CD15)/CD15</f>
      </c>
      <c r="CD49" s="589" t="str">
        <f>(CD15-CE15)/CE15</f>
      </c>
      <c r="CE49" s="589" t="str">
        <f>(CE15-CG49)/CG49</f>
      </c>
      <c r="CF49" s="3"/>
      <c r="CG49" s="592" t="str">
        <f>CH15+CI15</f>
      </c>
      <c r="CH49" s="3"/>
      <c r="CI49" s="589" t="str">
        <f>(CI15-CJ15)/CJ15</f>
      </c>
      <c r="CJ49" s="589" t="str">
        <f>(CJ15-CK15)/CK15</f>
      </c>
      <c r="CK49" s="589" t="str">
        <f>(CK15-CL15)/CL15</f>
      </c>
      <c r="CL49" s="589" t="str">
        <f>(CL15-CO49)/CO49</f>
      </c>
      <c r="CM49" s="589" t="str">
        <f>(CO49-CQ15)/CQ15</f>
      </c>
      <c r="CN49" s="3"/>
      <c r="CO49" s="592" t="str">
        <f>CP15+CM15</f>
      </c>
      <c r="CP49" s="3"/>
      <c r="CQ49" s="589" t="str">
        <f>(CQ15-CR15)/CQ15</f>
      </c>
      <c r="CR49" s="589" t="str">
        <f>(CR15-CS15)/CR15</f>
      </c>
      <c r="CS49" s="589" t="str">
        <f>(CS15-CU49)/CU49</f>
      </c>
      <c r="CT49" s="589" t="str">
        <f>(CS15-CX15)/CX15</f>
      </c>
      <c r="CU49" s="592" t="n">
        <v>62</v>
      </c>
      <c r="CV49" s="3"/>
      <c r="CW49" s="3"/>
      <c r="CX49" s="591" t="str">
        <f>(CX13-CY13)/CY13</f>
      </c>
      <c r="CY49" s="589" t="str">
        <f>(CY13-CZ13)/CZ13</f>
      </c>
      <c r="CZ49" s="589" t="str">
        <f>(CZ15-DB53)/DB53</f>
      </c>
      <c r="DA49" s="591" t="str">
        <f>(DB49-DE13)/DE13</f>
      </c>
      <c r="DB49" s="589" t="str">
        <f>DB44*30%/DB43</f>
      </c>
      <c r="DC49" s="3"/>
      <c r="DD49" s="3"/>
      <c r="DE49" s="591" t="str">
        <f>(DE13-DF13)/DF13</f>
      </c>
      <c r="DF49" s="591" t="str">
        <f>(DF13-DG13)/DG13</f>
      </c>
      <c r="DG49" s="591" t="str">
        <f>(DG13-DH13)/DH13</f>
      </c>
      <c r="DH49" s="591" t="str">
        <f>(DH13-DI49)/DI49</f>
      </c>
      <c r="DI49" s="271" t="str">
        <f>DI44*30%/DI43</f>
      </c>
      <c r="DJ49" s="591" t="str">
        <f>(DI49-DM13)/DM13</f>
      </c>
      <c r="DK49" s="3"/>
      <c r="DL49" s="591"/>
      <c r="DM49" s="591" t="str">
        <f>(DM13-DN13)/DN13</f>
      </c>
      <c r="DN49" s="591" t="str">
        <f>(DN13-DO13)/DO13</f>
      </c>
      <c r="DO49" s="591"/>
      <c r="DP49" s="594" t="n">
        <v>16412</v>
      </c>
      <c r="DQ49" s="3" t="n">
        <v>8846</v>
      </c>
      <c r="DR49" s="594" t="str">
        <f>(DQ49-DP49)/DP49*100</f>
      </c>
      <c r="DS49" s="595"/>
      <c r="DT49" s="591"/>
      <c r="DU49" s="591"/>
      <c r="DV49" s="3"/>
      <c r="DW49" s="3"/>
      <c r="DX49" s="591"/>
      <c r="DY49" s="594"/>
      <c r="DZ49" s="591" t="n">
        <v>1.51846636671554</v>
      </c>
      <c r="EA49" s="591" t="str">
        <f>(EA13-EB13)/EB13</f>
      </c>
      <c r="EB49" s="591" t="str">
        <f>(EB13-EC13)/EC13</f>
      </c>
      <c r="EC49" s="591" t="str">
        <f>(EC13-ED13)/ED13</f>
      </c>
      <c r="ED49" s="591"/>
      <c r="EE49" s="594"/>
      <c r="EF49" s="3"/>
      <c r="EG49" s="3"/>
      <c r="EH49" s="3"/>
      <c r="EI49" s="591"/>
      <c r="EJ49" s="3"/>
      <c r="EK49" s="591"/>
      <c r="EL49" s="3"/>
      <c r="EM49" s="3"/>
      <c r="EN49" s="592"/>
      <c r="EO49" s="592"/>
      <c r="EP49" s="595"/>
      <c r="EQ49" s="3"/>
      <c r="ER49" s="3"/>
      <c r="ES49" s="3"/>
      <c r="ET49" s="3"/>
      <c r="EU49" s="3"/>
      <c r="EV49" s="3"/>
      <c r="EW49" s="4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</row>
    <row r="50" ht="15.75">
      <c r="A50" s="314" t="s">
        <v>162</v>
      </c>
      <c r="B50" s="588"/>
      <c r="C50" s="610" t="str">
        <f>C17/B17</f>
      </c>
      <c r="D50" s="601" t="str">
        <f>(D17-E17)/E17</f>
      </c>
      <c r="E50" s="601" t="str">
        <f>(E17-F17)/F17</f>
      </c>
      <c r="F50" s="601" t="str">
        <f>(F17-G17)/G17</f>
      </c>
      <c r="G50" s="601" t="str">
        <f>(G17-I17)/I17</f>
      </c>
      <c r="H50" s="601" t="str">
        <f>(H17-L17)/L17</f>
      </c>
      <c r="I50" s="601" t="str">
        <f>(I17-M17)/M17</f>
      </c>
      <c r="J50" s="590"/>
      <c r="K50" s="590"/>
      <c r="L50" s="590"/>
      <c r="M50" s="601" t="str">
        <f>(M17-N17)/N17</f>
      </c>
      <c r="N50" s="601" t="str">
        <f>(N17-O17)/O17</f>
      </c>
      <c r="O50" s="601" t="str">
        <f>(O17-P17)/P17</f>
      </c>
      <c r="P50" s="590"/>
      <c r="Q50" s="590"/>
      <c r="R50" s="590"/>
      <c r="S50" s="588"/>
      <c r="T50" s="601" t="str">
        <f>(T17-U17)/U17</f>
      </c>
      <c r="U50" s="601" t="str">
        <f>(U17-V17)/V17</f>
      </c>
      <c r="V50" s="601" t="str">
        <f>(V17-W17)/W17</f>
      </c>
      <c r="W50" s="601" t="str">
        <f>(W17-AA17)/AA17</f>
      </c>
      <c r="X50" s="588"/>
      <c r="Y50" s="590"/>
      <c r="Z50" s="590"/>
      <c r="AA50" s="589" t="str">
        <f>(AA17-AB17)/AB17</f>
      </c>
      <c r="AB50" s="589" t="str">
        <f>(AB17-AC17)/AC17</f>
      </c>
      <c r="AC50" s="589" t="str">
        <f>(AC17-AD17)/AD17</f>
      </c>
      <c r="AD50" s="589" t="str">
        <f>(AD17-AH17)/AH17</f>
      </c>
      <c r="AE50" s="588"/>
      <c r="AF50" s="590"/>
      <c r="AG50" s="590"/>
      <c r="AH50" s="589"/>
      <c r="AI50" s="589"/>
      <c r="AJ50" s="589"/>
      <c r="AK50" s="589"/>
      <c r="AL50" s="589"/>
      <c r="AM50" s="3"/>
      <c r="AN50" s="3"/>
      <c r="AO50" s="589"/>
      <c r="AP50" s="589"/>
      <c r="AQ50" s="589"/>
      <c r="AR50" s="589"/>
      <c r="AS50" s="601"/>
      <c r="AT50" s="3"/>
      <c r="AU50" s="3"/>
      <c r="AV50" s="589"/>
      <c r="AW50" s="589"/>
      <c r="AX50" s="589"/>
      <c r="AY50" s="589"/>
      <c r="AZ50" s="589"/>
      <c r="BA50" s="589"/>
      <c r="BB50" s="3"/>
      <c r="BC50" s="3"/>
      <c r="BD50" s="3"/>
      <c r="BE50" s="589"/>
      <c r="BF50" s="589"/>
      <c r="BG50" s="589"/>
      <c r="BH50" s="589"/>
      <c r="BI50" s="589"/>
      <c r="BJ50" s="589"/>
      <c r="BK50" s="3"/>
      <c r="BL50" s="589"/>
      <c r="BM50" s="589"/>
      <c r="BN50" s="589"/>
      <c r="BO50" s="589"/>
      <c r="BP50" s="589"/>
      <c r="BQ50" s="3"/>
      <c r="BR50" s="3"/>
      <c r="BS50" s="589"/>
      <c r="BT50" s="589"/>
      <c r="BU50" s="589"/>
      <c r="BV50" s="589"/>
      <c r="BW50" s="3"/>
      <c r="BX50" s="589"/>
      <c r="BY50" s="3"/>
      <c r="BZ50" s="3"/>
      <c r="CA50" s="589"/>
      <c r="CB50" s="589"/>
      <c r="CC50" s="589"/>
      <c r="CD50" s="589"/>
      <c r="CE50" s="589"/>
      <c r="CF50" s="3"/>
      <c r="CG50" s="592"/>
      <c r="CH50" s="3"/>
      <c r="CI50" s="589"/>
      <c r="CJ50" s="589"/>
      <c r="CK50" s="589"/>
      <c r="CL50" s="589"/>
      <c r="CM50" s="589"/>
      <c r="CN50" s="3"/>
      <c r="CO50" s="592"/>
      <c r="CP50" s="3"/>
      <c r="CQ50" s="589"/>
      <c r="CR50" s="589"/>
      <c r="CS50" s="589"/>
      <c r="CT50" s="589"/>
      <c r="CU50" s="592"/>
      <c r="CV50" s="3"/>
      <c r="CW50" s="3"/>
      <c r="CX50" s="591"/>
      <c r="CY50" s="589"/>
      <c r="CZ50" s="589"/>
      <c r="DA50" s="591"/>
      <c r="DB50" s="589"/>
      <c r="DC50" s="3"/>
      <c r="DD50" s="3"/>
      <c r="DE50" s="591"/>
      <c r="DF50" s="591"/>
      <c r="DG50" s="591"/>
      <c r="DH50" s="591"/>
      <c r="DI50" s="271"/>
      <c r="DJ50" s="591"/>
      <c r="DK50" s="3"/>
      <c r="DL50" s="591"/>
      <c r="DM50" s="591"/>
      <c r="DN50" s="591"/>
      <c r="DO50" s="591"/>
      <c r="DP50" s="594"/>
      <c r="DQ50" s="3"/>
      <c r="DR50" s="594"/>
      <c r="DS50" s="595"/>
      <c r="DT50" s="591"/>
      <c r="DU50" s="591"/>
      <c r="DV50" s="3"/>
      <c r="DW50" s="3"/>
      <c r="DX50" s="591"/>
      <c r="DY50" s="594"/>
      <c r="DZ50" s="591"/>
      <c r="EA50" s="591"/>
      <c r="EB50" s="591"/>
      <c r="EC50" s="591"/>
      <c r="ED50" s="591"/>
      <c r="EE50" s="594"/>
      <c r="EF50" s="3"/>
      <c r="EG50" s="3"/>
      <c r="EH50" s="3"/>
      <c r="EI50" s="591"/>
      <c r="EJ50" s="3"/>
      <c r="EK50" s="591"/>
      <c r="EL50" s="3"/>
      <c r="EM50" s="3"/>
      <c r="EN50" s="592"/>
      <c r="EO50" s="592"/>
      <c r="EP50" s="595"/>
      <c r="EQ50" s="3"/>
      <c r="ER50" s="3"/>
      <c r="ES50" s="3"/>
      <c r="ET50" s="3"/>
      <c r="EU50" s="3"/>
      <c r="EV50" s="3"/>
      <c r="EW50" s="4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</row>
    <row r="51" ht="15.75">
      <c r="A51" s="209" t="s">
        <v>161</v>
      </c>
      <c r="B51" s="588"/>
      <c r="C51" s="588"/>
      <c r="D51" s="589" t="str">
        <f>(D16-E16)/E16</f>
      </c>
      <c r="E51" s="589" t="str">
        <f>(E16-F16)/F16</f>
      </c>
      <c r="F51" s="589" t="str">
        <f>(F16-G16)/G16</f>
      </c>
      <c r="G51" s="589" t="str">
        <f>(G16-I16)/I16</f>
      </c>
      <c r="H51" s="589" t="str">
        <f>(H16-L16)/L16</f>
      </c>
      <c r="I51" s="589" t="str">
        <f>(I16-M16)/M16</f>
      </c>
      <c r="J51" s="590"/>
      <c r="K51" s="590"/>
      <c r="L51" s="590"/>
      <c r="M51" s="589" t="str">
        <f>(M16-N16)/N16</f>
      </c>
      <c r="N51" s="589" t="str">
        <f>(N16-O16)/O16</f>
      </c>
      <c r="O51" s="589" t="str">
        <f>(O16-P16)/P16</f>
      </c>
      <c r="P51" s="590"/>
      <c r="Q51" s="590"/>
      <c r="R51" s="590"/>
      <c r="S51" s="588"/>
      <c r="T51" s="589" t="str">
        <f>(T16-U16)/U16</f>
      </c>
      <c r="U51" s="589" t="str">
        <f>(U16-V16)/V16</f>
      </c>
      <c r="V51" s="589" t="str">
        <f>(V16-W16)/W16</f>
      </c>
      <c r="W51" s="589" t="str">
        <f>(W16-AA16)/AA16</f>
      </c>
      <c r="X51" s="588"/>
      <c r="Y51" s="590"/>
      <c r="Z51" s="590"/>
      <c r="AA51" s="589" t="str">
        <f>(AA16-AB16)/AB16</f>
      </c>
      <c r="AB51" s="589" t="str">
        <f>(AB16-AC16)/AC16</f>
      </c>
      <c r="AC51" s="589" t="str">
        <f>(AC16-AD16)/AD16</f>
      </c>
      <c r="AD51" s="589" t="str">
        <f>(AD16-AH16)/AH16</f>
      </c>
      <c r="AE51" s="588"/>
      <c r="AF51" s="590"/>
      <c r="AG51" s="590"/>
      <c r="AH51" s="589" t="str">
        <f>(AH16-AI16)/AI16</f>
      </c>
      <c r="AI51" s="589" t="str">
        <f>(AI16-AJ16)/AJ16</f>
      </c>
      <c r="AJ51" s="589" t="str">
        <f>(AJ16-AK16)/AK16</f>
      </c>
      <c r="AK51" s="589"/>
      <c r="AL51" s="589"/>
      <c r="AM51" s="3"/>
      <c r="AN51" s="3"/>
      <c r="AO51" s="589"/>
      <c r="AP51" s="589"/>
      <c r="AQ51" s="589"/>
      <c r="AR51" s="589"/>
      <c r="AS51" s="601"/>
      <c r="AT51" s="3"/>
      <c r="AU51" s="3"/>
      <c r="AV51" s="589"/>
      <c r="AW51" s="589"/>
      <c r="AX51" s="589"/>
      <c r="AY51" s="589"/>
      <c r="AZ51" s="589"/>
      <c r="BA51" s="589"/>
      <c r="BB51" s="3"/>
      <c r="BC51" s="3"/>
      <c r="BD51" s="3"/>
      <c r="BE51" s="589"/>
      <c r="BF51" s="589"/>
      <c r="BG51" s="589"/>
      <c r="BH51" s="589"/>
      <c r="BI51" s="589"/>
      <c r="BJ51" s="589"/>
      <c r="BK51" s="3"/>
      <c r="BL51" s="589"/>
      <c r="BM51" s="589"/>
      <c r="BN51" s="589"/>
      <c r="BO51" s="589"/>
      <c r="BP51" s="589"/>
      <c r="BQ51" s="3"/>
      <c r="BR51" s="3"/>
      <c r="BS51" s="589"/>
      <c r="BT51" s="589"/>
      <c r="BU51" s="589"/>
      <c r="BV51" s="589"/>
      <c r="BW51" s="3"/>
      <c r="BX51" s="589"/>
      <c r="BY51" s="3"/>
      <c r="BZ51" s="3"/>
      <c r="CA51" s="589"/>
      <c r="CB51" s="589"/>
      <c r="CC51" s="589"/>
      <c r="CD51" s="589"/>
      <c r="CE51" s="589"/>
      <c r="CF51" s="3"/>
      <c r="CG51" s="592"/>
      <c r="CH51" s="3"/>
      <c r="CI51" s="589"/>
      <c r="CJ51" s="589"/>
      <c r="CK51" s="589"/>
      <c r="CL51" s="589"/>
      <c r="CM51" s="589"/>
      <c r="CN51" s="3"/>
      <c r="CO51" s="592"/>
      <c r="CP51" s="3"/>
      <c r="CQ51" s="589"/>
      <c r="CR51" s="589"/>
      <c r="CS51" s="589"/>
      <c r="CT51" s="589"/>
      <c r="CU51" s="592"/>
      <c r="CV51" s="3"/>
      <c r="CW51" s="3"/>
      <c r="CX51" s="591"/>
      <c r="CY51" s="589"/>
      <c r="CZ51" s="589"/>
      <c r="DA51" s="591"/>
      <c r="DB51" s="589"/>
      <c r="DC51" s="3"/>
      <c r="DD51" s="3"/>
      <c r="DE51" s="591"/>
      <c r="DF51" s="591"/>
      <c r="DG51" s="591"/>
      <c r="DH51" s="591"/>
      <c r="DI51" s="271"/>
      <c r="DJ51" s="591"/>
      <c r="DK51" s="3"/>
      <c r="DL51" s="591"/>
      <c r="DM51" s="591"/>
      <c r="DN51" s="591"/>
      <c r="DO51" s="591"/>
      <c r="DP51" s="594"/>
      <c r="DQ51" s="3"/>
      <c r="DR51" s="594"/>
      <c r="DS51" s="595"/>
      <c r="DT51" s="591"/>
      <c r="DU51" s="591"/>
      <c r="DV51" s="3"/>
      <c r="DW51" s="3"/>
      <c r="DX51" s="591"/>
      <c r="DY51" s="594"/>
      <c r="DZ51" s="591"/>
      <c r="EA51" s="591"/>
      <c r="EB51" s="591"/>
      <c r="EC51" s="591"/>
      <c r="ED51" s="591"/>
      <c r="EE51" s="594"/>
      <c r="EF51" s="3"/>
      <c r="EG51" s="3"/>
      <c r="EH51" s="3"/>
      <c r="EI51" s="591"/>
      <c r="EJ51" s="3"/>
      <c r="EK51" s="591"/>
      <c r="EL51" s="3"/>
      <c r="EM51" s="3"/>
      <c r="EN51" s="592"/>
      <c r="EO51" s="592"/>
      <c r="EP51" s="595"/>
      <c r="EQ51" s="3"/>
      <c r="ER51" s="3"/>
      <c r="ES51" s="3"/>
      <c r="ET51" s="3"/>
      <c r="EU51" s="3"/>
      <c r="EV51" s="3"/>
      <c r="EW51" s="4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</row>
    <row r="52" ht="15.75">
      <c r="A52" s="611" t="s">
        <v>166</v>
      </c>
      <c r="B52" s="598"/>
      <c r="C52" s="598"/>
      <c r="D52" s="589" t="str">
        <f>(D21-E21)/E21</f>
      </c>
      <c r="E52" s="589" t="str">
        <f>(E21-F21)/F21</f>
      </c>
      <c r="F52" s="589" t="str">
        <f>(F21-G21)/G21</f>
      </c>
      <c r="G52" s="589" t="str">
        <f>(G21-I21)/I21</f>
      </c>
      <c r="H52" s="589" t="str">
        <f>(H21-L21)/L21</f>
      </c>
      <c r="I52" s="589" t="str">
        <f>(I21-M21)/M21</f>
      </c>
      <c r="J52" s="600"/>
      <c r="K52" s="600"/>
      <c r="L52" s="600"/>
      <c r="M52" s="589" t="str">
        <f>(M21-N21)/N21</f>
      </c>
      <c r="N52" s="589" t="str">
        <f>(N21-O21)/O21</f>
      </c>
      <c r="O52" s="589" t="str">
        <f>(O21-P21)/P21</f>
      </c>
      <c r="P52" s="600"/>
      <c r="Q52" s="600"/>
      <c r="R52" s="600"/>
      <c r="S52" s="598"/>
      <c r="T52" s="589" t="str">
        <f>(T21-U21)/U21</f>
      </c>
      <c r="U52" s="589" t="str">
        <f>(U21-V21)/V21</f>
      </c>
      <c r="V52" s="589" t="str">
        <f>(V21-W21)/W21</f>
      </c>
      <c r="W52" s="589" t="str">
        <f>(W21-AA21)/AA21</f>
      </c>
      <c r="X52" s="598"/>
      <c r="Y52" s="600"/>
      <c r="Z52" s="600"/>
      <c r="AA52" s="589" t="str">
        <f>(AA21-AB21)/AB21</f>
      </c>
      <c r="AB52" s="589" t="str">
        <f>(AB21-AC21)/AC21</f>
      </c>
      <c r="AC52" s="589" t="str">
        <f>(AC21-AD21)/AD21</f>
      </c>
      <c r="AD52" s="589" t="str">
        <f>(AD21-AH21)/AH21</f>
      </c>
      <c r="AE52" s="598"/>
      <c r="AF52" s="600"/>
      <c r="AG52" s="600"/>
      <c r="AH52" s="589" t="str">
        <f>(AH21-AI21)/AI21</f>
      </c>
      <c r="AI52" s="589" t="str">
        <f>(AI21-AJ21)/AJ21</f>
      </c>
      <c r="AJ52" s="589" t="str">
        <f>(AJ21-AK21)/AK21</f>
      </c>
      <c r="AK52" s="589" t="str">
        <f>(AK21-AL21)/AL21</f>
      </c>
      <c r="AL52" s="589" t="str">
        <f>(AL21-AO21)/AO21</f>
      </c>
      <c r="AM52" s="158"/>
      <c r="AN52" s="158"/>
      <c r="AO52" s="589" t="str">
        <f>(AO21-AP21)/AP21</f>
      </c>
      <c r="AP52" s="589" t="str">
        <f>(AP21-AQ21)/AQ21</f>
      </c>
      <c r="AQ52" s="589" t="str">
        <f>(AQ21-AR21)/AR21</f>
      </c>
      <c r="AR52" s="589" t="str">
        <f>(AR21-AS21)/AS21</f>
      </c>
      <c r="AS52" s="601" t="str">
        <f>(AS21-AV21)/AV21</f>
      </c>
      <c r="AT52" s="158"/>
      <c r="AU52" s="158"/>
      <c r="AV52" s="601" t="str">
        <f>(AV21-AW21)/AW21</f>
      </c>
      <c r="AW52" s="601" t="str">
        <f>(AW21-AX21)/AX21</f>
      </c>
      <c r="AX52" s="601" t="str">
        <f>(AX21-AY21)/AY21</f>
      </c>
      <c r="AY52" s="601" t="str">
        <f>(AY21-BA21)/BA21</f>
      </c>
      <c r="AZ52" s="601"/>
      <c r="BA52" s="601" t="str">
        <f>(BA21-BE21)/BE21</f>
      </c>
      <c r="BB52" s="158"/>
      <c r="BC52" s="158"/>
      <c r="BD52" s="158"/>
      <c r="BE52" s="601" t="str">
        <f>(BE21-BF21)/BF21</f>
      </c>
      <c r="BF52" s="601" t="str">
        <f>(BF21-BG21)/BG21</f>
      </c>
      <c r="BG52" s="601" t="str">
        <f>(BG21-BI21)/BI21</f>
      </c>
      <c r="BH52" s="601"/>
      <c r="BI52" s="601" t="str">
        <f>(BI21-BM21)/BM21</f>
      </c>
      <c r="BJ52" s="601"/>
      <c r="BK52" s="158"/>
      <c r="BL52" s="601"/>
      <c r="BM52" s="601" t="str">
        <f>(BM21-BN21)/BN21</f>
      </c>
      <c r="BN52" s="601" t="str">
        <f>(BN21-BO21)/BO21</f>
      </c>
      <c r="BO52" s="601" t="str">
        <f>(BO21-BP21)/BP21</f>
      </c>
      <c r="BP52" s="601" t="str">
        <f>(BP21-BS21)/BS21</f>
      </c>
      <c r="BQ52" s="158"/>
      <c r="BR52" s="158"/>
      <c r="BS52" s="601" t="str">
        <f>(BS21-BT21)/BT21</f>
      </c>
      <c r="BT52" s="601" t="str">
        <f>(BT21-BU21)/BU21</f>
      </c>
      <c r="BU52" s="601" t="str">
        <f>(BU21-BV21)/BV21</f>
      </c>
      <c r="BV52" s="601" t="str">
        <f>(BV21-BX21)/BX21</f>
      </c>
      <c r="BW52" s="158"/>
      <c r="BX52" s="601" t="str">
        <f>(BX21-CB21)/CB21</f>
      </c>
      <c r="BY52" s="158"/>
      <c r="BZ52" s="158"/>
      <c r="CA52" s="601" t="str">
        <f>(CA21-CB21)/CB21</f>
      </c>
      <c r="CB52" s="601" t="str">
        <f>(CB21-CC21)/CC21</f>
      </c>
      <c r="CC52" s="601" t="str">
        <f>(CC21-CD21)/CD21</f>
      </c>
      <c r="CD52" s="601" t="str">
        <f>(CD21-CE21)/CE21</f>
      </c>
      <c r="CE52" s="601" t="str">
        <f>(CE21-CG52)/CG52</f>
      </c>
      <c r="CF52" s="158"/>
      <c r="CG52" s="602" t="str">
        <f>CH21+CI21</f>
      </c>
      <c r="CH52" s="158"/>
      <c r="CI52" s="601" t="str">
        <f>(CI21-CJ21)/CJ21</f>
      </c>
      <c r="CJ52" s="601" t="str">
        <f>(CJ21-CK21)/CK21</f>
      </c>
      <c r="CK52" s="601" t="str">
        <f>(CK21-CL21)/CL21</f>
      </c>
      <c r="CL52" s="601" t="str">
        <f>(CL21-CO52)/CO52</f>
      </c>
      <c r="CM52" s="601" t="str">
        <f>(CO52-CQ21)/CQ21</f>
      </c>
      <c r="CN52" s="158"/>
      <c r="CO52" s="603" t="str">
        <f>CP21+CM21</f>
      </c>
      <c r="CP52" s="158"/>
      <c r="CQ52" s="601" t="str">
        <f>(CQ21-CR21)/CR21</f>
      </c>
      <c r="CR52" s="601" t="str">
        <f>(CR21-CS21)/CS21</f>
      </c>
      <c r="CS52" s="601" t="str">
        <f>(CS21-CU52)/CU52</f>
      </c>
      <c r="CT52" s="601" t="str">
        <f>(CS21-CX21)/CX21</f>
      </c>
      <c r="CU52" s="602" t="n">
        <v>496881</v>
      </c>
      <c r="CV52" s="158"/>
      <c r="CW52" s="158"/>
      <c r="CX52" s="604" t="str">
        <f>(CX14-CY14)/CY14</f>
      </c>
      <c r="CY52" s="604" t="str">
        <f>(CY14-CZ14)/CZ14</f>
      </c>
      <c r="CZ52" s="604" t="str">
        <f>(CZ21-DB57)/DB57</f>
      </c>
      <c r="DA52" s="601" t="str">
        <f>(DB52-DE14)/DE14</f>
      </c>
      <c r="DB52" s="602" t="n">
        <v>1200551</v>
      </c>
      <c r="DC52" s="158"/>
      <c r="DD52" s="158"/>
      <c r="DE52" s="604" t="str">
        <f>(DE14-DF14)/DF14</f>
      </c>
      <c r="DF52" s="604" t="str">
        <f>(DF14-DG14)/DG14</f>
      </c>
      <c r="DG52" s="604" t="str">
        <f>(DG14-DH14)/DH14</f>
      </c>
      <c r="DH52" s="604" t="str">
        <f>(DH14-DI52)/DI52</f>
      </c>
      <c r="DI52" s="159" t="str">
        <f>DI14+DL14</f>
      </c>
      <c r="DJ52" s="604" t="str">
        <f>(DI52-DM14)/DM14</f>
      </c>
      <c r="DK52" s="158"/>
      <c r="DL52" s="604"/>
      <c r="DM52" s="604" t="str">
        <f>(DM14-DN14)/DN14</f>
      </c>
      <c r="DN52" s="604" t="str">
        <f>(DN14-DO14)/DO14</f>
      </c>
      <c r="DO52" s="604"/>
      <c r="DP52" s="606"/>
      <c r="DQ52" s="604"/>
      <c r="DR52" s="601"/>
      <c r="DS52" s="601"/>
      <c r="DT52" s="604"/>
      <c r="DU52" s="604"/>
      <c r="DV52" s="158"/>
      <c r="DW52" s="158"/>
      <c r="DX52" s="605"/>
      <c r="DY52" s="606"/>
      <c r="DZ52" s="605" t="n">
        <v>251601.28</v>
      </c>
      <c r="EA52" s="604" t="str">
        <f>(EA14-EB14)/EB14</f>
      </c>
      <c r="EB52" s="604" t="str">
        <f>(EB14-EC14)/EC14</f>
      </c>
      <c r="EC52" s="604" t="str">
        <f>(EC14-ED14)/ED14</f>
      </c>
      <c r="ED52" s="604"/>
      <c r="EE52" s="606"/>
      <c r="EF52" s="158"/>
      <c r="EG52" s="158"/>
      <c r="EH52" s="158"/>
      <c r="EI52" s="604"/>
      <c r="EJ52" s="158"/>
      <c r="EK52" s="604"/>
      <c r="EL52" s="158"/>
      <c r="EM52" s="158"/>
      <c r="EN52" s="602"/>
      <c r="EO52" s="602"/>
      <c r="EP52" s="615"/>
      <c r="EQ52" s="158"/>
      <c r="ER52" s="158"/>
      <c r="ES52" s="158"/>
      <c r="ET52" s="158"/>
      <c r="EU52" s="158"/>
      <c r="EV52" s="158"/>
      <c r="EW52" s="607"/>
      <c r="EX52" s="158"/>
      <c r="EY52" s="158"/>
      <c r="EZ52" s="158"/>
      <c r="FA52" s="158"/>
      <c r="FB52" s="158"/>
      <c r="FC52" s="158"/>
      <c r="FD52" s="158"/>
      <c r="FE52" s="158"/>
      <c r="FF52" s="158"/>
      <c r="FG52" s="158"/>
      <c r="FH52" s="158"/>
      <c r="FI52" s="158"/>
      <c r="FJ52" s="158"/>
      <c r="FK52" s="158"/>
      <c r="FL52" s="158"/>
      <c r="FM52" s="158"/>
      <c r="FN52" s="158"/>
      <c r="FO52" s="158"/>
      <c r="FP52" s="158"/>
      <c r="FQ52" s="158"/>
      <c r="FR52" s="158"/>
      <c r="FS52" s="158"/>
      <c r="FT52" s="158"/>
      <c r="FU52" s="158"/>
      <c r="FV52" s="158"/>
      <c r="FW52" s="158"/>
      <c r="FX52" s="158"/>
      <c r="FY52" s="158"/>
      <c r="FZ52" s="158"/>
      <c r="GA52" s="158"/>
      <c r="GB52" s="158"/>
      <c r="GC52" s="158"/>
      <c r="GD52" s="158"/>
      <c r="GE52" s="158"/>
      <c r="GF52" s="608"/>
      <c r="GG52" s="608"/>
      <c r="GH52" s="608"/>
      <c r="GI52" s="608"/>
      <c r="GJ52" s="608"/>
      <c r="GK52" s="608"/>
      <c r="GL52" s="608"/>
      <c r="GM52" s="608"/>
      <c r="GN52" s="608"/>
      <c r="GO52" s="608"/>
      <c r="GP52" s="608"/>
      <c r="GQ52" s="608"/>
    </row>
    <row r="53" ht="15.75">
      <c r="A53" s="609" t="s">
        <v>167</v>
      </c>
      <c r="B53" s="588"/>
      <c r="C53" s="610" t="str">
        <f>C22/B22</f>
      </c>
      <c r="D53" s="601" t="str">
        <f>(D22-E22)/E22</f>
      </c>
      <c r="E53" s="601" t="str">
        <f>(E22-F22)/F22</f>
      </c>
      <c r="F53" s="601" t="str">
        <f>(F22-G22)/G22</f>
      </c>
      <c r="G53" s="601" t="str">
        <f>(G22-I22)/I22</f>
      </c>
      <c r="H53" s="601" t="str">
        <f>(H22-L22)/L22</f>
      </c>
      <c r="I53" s="601" t="str">
        <f>(I22-M22)/M22</f>
      </c>
      <c r="J53" s="590"/>
      <c r="K53" s="590"/>
      <c r="L53" s="590"/>
      <c r="M53" s="601" t="str">
        <f>(M22-N22)/N22</f>
      </c>
      <c r="N53" s="601" t="str">
        <f>(N22-O22)/O22</f>
      </c>
      <c r="O53" s="601" t="str">
        <f>(O22-P22)/P22</f>
      </c>
      <c r="P53" s="590"/>
      <c r="Q53" s="590"/>
      <c r="R53" s="590"/>
      <c r="S53" s="588"/>
      <c r="T53" s="601" t="str">
        <f>(T22-U22)/U22</f>
      </c>
      <c r="U53" s="601" t="str">
        <f>(U22-V22)/V22</f>
      </c>
      <c r="V53" s="601" t="str">
        <f>(V22-W22)/W22</f>
      </c>
      <c r="W53" s="601" t="str">
        <f>(W22-AA22)/AA22</f>
      </c>
      <c r="X53" s="588"/>
      <c r="Y53" s="590"/>
      <c r="Z53" s="590"/>
      <c r="AA53" s="589" t="str">
        <f>(AA22-AB22)/AB22</f>
      </c>
      <c r="AB53" s="589" t="str">
        <f>(AB22-AC22)/AC22</f>
      </c>
      <c r="AC53" s="589" t="str">
        <f>(AC22-AD22)/AD22</f>
      </c>
      <c r="AD53" s="589" t="str">
        <f>(AD22-AH22)/AH22</f>
      </c>
      <c r="AE53" s="588"/>
      <c r="AF53" s="590"/>
      <c r="AG53" s="590"/>
      <c r="AH53" s="589" t="str">
        <f>(AH22-AI22)/AI22</f>
      </c>
      <c r="AI53" s="589" t="str">
        <f>(AI22-AJ22)/AJ22</f>
      </c>
      <c r="AJ53" s="589" t="str">
        <f>(AJ22-AK22)/AK22</f>
      </c>
      <c r="AK53" s="589" t="str">
        <f>(AK22-AL22)/AL22</f>
      </c>
      <c r="AL53" s="589" t="str">
        <f>(AL22-AO22)/AO22</f>
      </c>
      <c r="AM53" s="3"/>
      <c r="AN53" s="3"/>
      <c r="AO53" s="589" t="str">
        <f>(AO22-AP22)/AP22</f>
      </c>
      <c r="AP53" s="589" t="str">
        <f>(AP22-AQ22)/AQ22</f>
      </c>
      <c r="AQ53" s="589" t="str">
        <f>(AQ22-AR22)/AR22</f>
      </c>
      <c r="AR53" s="589" t="str">
        <f>(AR22-AS22)/AS22</f>
      </c>
      <c r="AS53" s="601" t="str">
        <f>(AS22-AV22)/AV22</f>
      </c>
      <c r="AT53" s="3"/>
      <c r="AU53" s="3"/>
      <c r="AV53" s="589" t="str">
        <f>(AV22-AW22)/AW22</f>
      </c>
      <c r="AW53" s="589" t="str">
        <f>(AW22-AX22)/AX22</f>
      </c>
      <c r="AX53" s="589" t="str">
        <f>(AX22-AY22)/AY22</f>
      </c>
      <c r="AY53" s="589" t="str">
        <f>(AY22-BA22)/BA22</f>
      </c>
      <c r="AZ53" s="589"/>
      <c r="BA53" s="589" t="str">
        <f>(BA22-BE22)/BE22</f>
      </c>
      <c r="BB53" s="3"/>
      <c r="BC53" s="3"/>
      <c r="BD53" s="3"/>
      <c r="BE53" s="589" t="str">
        <f>(BE22-BF22)/BF22</f>
      </c>
      <c r="BF53" s="589" t="str">
        <f>(BF22-BG22)/BG22</f>
      </c>
      <c r="BG53" s="589" t="str">
        <f>(BG22-BI22)/BI22</f>
      </c>
      <c r="BH53" s="589"/>
      <c r="BI53" s="589" t="str">
        <f>(BI22-BM22)/BM22</f>
      </c>
      <c r="BJ53" s="589"/>
      <c r="BK53" s="3"/>
      <c r="BL53" s="589"/>
      <c r="BM53" s="589" t="str">
        <f>(BM22-BN22)/BN22</f>
      </c>
      <c r="BN53" s="589" t="str">
        <f>(BN22-BO22)/BO22</f>
      </c>
      <c r="BO53" s="589" t="str">
        <f>(BO22-BP22)/BP22</f>
      </c>
      <c r="BP53" s="589" t="str">
        <f>(BP22-BS22)/BS22</f>
      </c>
      <c r="BQ53" s="3"/>
      <c r="BR53" s="3"/>
      <c r="BS53" s="589" t="str">
        <f>(BS22-BT22)/BT22</f>
      </c>
      <c r="BT53" s="589" t="str">
        <f>(BT22-BU22)/BU22</f>
      </c>
      <c r="BU53" s="589" t="str">
        <f>(BU22-BV22)/BV22</f>
      </c>
      <c r="BV53" s="589" t="str">
        <f>(BV22-BX22)/BX22</f>
      </c>
      <c r="BW53" s="3"/>
      <c r="BX53" s="589" t="str">
        <f>(BX22-CB22)/CB22</f>
      </c>
      <c r="BY53" s="3"/>
      <c r="BZ53" s="3"/>
      <c r="CA53" s="589" t="str">
        <f>(CA22-CB22)/CB22</f>
      </c>
      <c r="CB53" s="589" t="str">
        <f>(CB22-CC22)/CC22</f>
      </c>
      <c r="CC53" s="589" t="str">
        <f>(CC22-CD22)/CD22</f>
      </c>
      <c r="CD53" s="589" t="str">
        <f>(CD22-CE22)/CE22</f>
      </c>
      <c r="CE53" s="589" t="str">
        <f>(CE22-CG53)/CG53</f>
      </c>
      <c r="CF53" s="3"/>
      <c r="CG53" s="592" t="str">
        <f>CH22+CI22</f>
      </c>
      <c r="CH53" s="3"/>
      <c r="CI53" s="589" t="str">
        <f>(CI22-CJ22)/CJ22</f>
      </c>
      <c r="CJ53" s="589" t="str">
        <f>(CJ22-CK22)/CK22</f>
      </c>
      <c r="CK53" s="589" t="str">
        <f>(CK22-CL22)/CL22</f>
      </c>
      <c r="CL53" s="589" t="str">
        <f>(CL22-CO53)/CO53</f>
      </c>
      <c r="CM53" s="589" t="str">
        <f>(CO53-CQ22)/CQ22</f>
      </c>
      <c r="CN53" s="3"/>
      <c r="CO53" s="592" t="str">
        <f>CP22+CM22</f>
      </c>
      <c r="CP53" s="3"/>
      <c r="CQ53" s="589" t="str">
        <f>(CQ22-CR22)/CR22</f>
      </c>
      <c r="CR53" s="589" t="str">
        <f>(CR22-CS22)/CS22</f>
      </c>
      <c r="CS53" s="589" t="str">
        <f>(CS22-CU53)/CU53</f>
      </c>
      <c r="CT53" s="589" t="str">
        <f>(CS22-CX22)/CX22</f>
      </c>
      <c r="CU53" s="592" t="n">
        <v>29</v>
      </c>
      <c r="CV53" s="3"/>
      <c r="CW53" s="3"/>
      <c r="CX53" s="591" t="str">
        <f>(CX15-CY15)/CY15</f>
      </c>
      <c r="CY53" s="589" t="str">
        <f>(CY15-CZ15)/CZ15</f>
      </c>
      <c r="CZ53" s="589" t="str">
        <f>(CZ22-DB58)/DB58</f>
      </c>
      <c r="DA53" s="589" t="str">
        <f>(DB53-DE15)/DE15</f>
      </c>
      <c r="DB53" s="3" t="n">
        <v>70</v>
      </c>
      <c r="DC53" s="3"/>
      <c r="DD53" s="3"/>
      <c r="DE53" s="591" t="str">
        <f>(DE15-DF15)/DF15</f>
      </c>
      <c r="DF53" s="591" t="str">
        <f>(DF15-DG15)/DG15</f>
      </c>
      <c r="DG53" s="591" t="str">
        <f>(DG15-DH15)/DH15</f>
      </c>
      <c r="DH53" s="591" t="str">
        <f>(DH15-DI53)/DI53</f>
      </c>
      <c r="DI53" s="290" t="n">
        <v>73</v>
      </c>
      <c r="DJ53" s="591" t="str">
        <f>(DI53-DM15)/DM15</f>
      </c>
      <c r="DK53" s="3"/>
      <c r="DL53" s="591"/>
      <c r="DM53" s="591" t="str">
        <f>(DM15-DN15)/DN15</f>
      </c>
      <c r="DN53" s="591" t="str">
        <f>(DN15-DO15)/DO15</f>
      </c>
      <c r="DO53" s="591"/>
      <c r="DP53" s="594"/>
      <c r="DQ53" s="3"/>
      <c r="DR53" s="3"/>
      <c r="DS53" s="3"/>
      <c r="DT53" s="591"/>
      <c r="DU53" s="591"/>
      <c r="DV53" s="3"/>
      <c r="DW53" s="3"/>
      <c r="DX53" s="594"/>
      <c r="DY53" s="594"/>
      <c r="DZ53" s="594" t="n">
        <v>25</v>
      </c>
      <c r="EA53" s="591" t="str">
        <f>(EA15-EB15)/EB15</f>
      </c>
      <c r="EB53" s="591" t="str">
        <f>(EB15-EC15)/EC15</f>
      </c>
      <c r="EC53" s="591" t="str">
        <f>(EC15-ED15)/ED15</f>
      </c>
      <c r="ED53" s="591"/>
      <c r="EE53" s="594"/>
      <c r="EF53" s="3"/>
      <c r="EG53" s="3"/>
      <c r="EH53" s="3"/>
      <c r="EI53" s="591"/>
      <c r="EJ53" s="3"/>
      <c r="EK53" s="591"/>
      <c r="EL53" s="3"/>
      <c r="EM53" s="3"/>
      <c r="EN53" s="592"/>
      <c r="EO53" s="592"/>
      <c r="EP53" s="592"/>
      <c r="EQ53" s="3"/>
      <c r="ER53" s="3"/>
      <c r="ES53" s="3"/>
      <c r="ET53" s="3"/>
      <c r="EU53" s="3"/>
      <c r="EV53" s="3"/>
      <c r="EW53" s="4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</row>
    <row r="54" ht="15.75">
      <c r="A54" s="381" t="s">
        <v>176</v>
      </c>
      <c r="B54" s="588"/>
      <c r="C54" s="610" t="str">
        <f>C24/B24</f>
      </c>
      <c r="D54" s="601" t="str">
        <f>(D24-E24)/E24</f>
      </c>
      <c r="E54" s="601" t="str">
        <f>(E24-F24)/F24</f>
      </c>
      <c r="F54" s="601" t="str">
        <f>(F24-G24)/G24</f>
      </c>
      <c r="G54" s="601" t="str">
        <f>(G24-I24)/I24</f>
      </c>
      <c r="H54" s="601" t="str">
        <f>(H24-L24)/L24</f>
      </c>
      <c r="I54" s="601" t="str">
        <f>(I24-M24)/M24</f>
      </c>
      <c r="J54" s="590"/>
      <c r="K54" s="590"/>
      <c r="L54" s="590"/>
      <c r="M54" s="601" t="str">
        <f>(M24-N24)/N24</f>
      </c>
      <c r="N54" s="601" t="str">
        <f>(N24-O24)/O24</f>
      </c>
      <c r="O54" s="601" t="str">
        <f>(O24-P24)/P24</f>
      </c>
      <c r="P54" s="590"/>
      <c r="Q54" s="590"/>
      <c r="R54" s="590"/>
      <c r="S54" s="588"/>
      <c r="T54" s="601" t="str">
        <f>(T24-U24)/U24</f>
      </c>
      <c r="U54" s="601" t="str">
        <f>(U24-V24)/V24</f>
      </c>
      <c r="V54" s="601" t="str">
        <f>(V24-W24)/W24</f>
      </c>
      <c r="W54" s="601" t="str">
        <f>(W24-AA24)/AA24</f>
      </c>
      <c r="X54" s="588"/>
      <c r="Y54" s="590"/>
      <c r="Z54" s="590"/>
      <c r="AA54" s="589" t="str">
        <f>(AA24-AB24)/AB24</f>
      </c>
      <c r="AB54" s="589" t="str">
        <f>(AB24-AC24)/AC24</f>
      </c>
      <c r="AC54" s="589" t="str">
        <f>(AC24-AD24)/AD24</f>
      </c>
      <c r="AD54" s="589" t="str">
        <f>(AD24-AH24)/AH24</f>
      </c>
      <c r="AE54" s="588"/>
      <c r="AF54" s="590"/>
      <c r="AG54" s="590"/>
      <c r="AH54" s="589"/>
      <c r="AI54" s="589"/>
      <c r="AJ54" s="589"/>
      <c r="AK54" s="589"/>
      <c r="AL54" s="589"/>
      <c r="AM54" s="3"/>
      <c r="AN54" s="3"/>
      <c r="AO54" s="589"/>
      <c r="AP54" s="589"/>
      <c r="AQ54" s="589"/>
      <c r="AR54" s="589"/>
      <c r="AS54" s="601"/>
      <c r="AT54" s="3"/>
      <c r="AU54" s="3"/>
      <c r="AV54" s="589"/>
      <c r="AW54" s="589"/>
      <c r="AX54" s="589"/>
      <c r="AY54" s="589"/>
      <c r="AZ54" s="589"/>
      <c r="BA54" s="589"/>
      <c r="BB54" s="3"/>
      <c r="BC54" s="3"/>
      <c r="BD54" s="3"/>
      <c r="BE54" s="589"/>
      <c r="BF54" s="589"/>
      <c r="BG54" s="589"/>
      <c r="BH54" s="589"/>
      <c r="BI54" s="589"/>
      <c r="BJ54" s="589"/>
      <c r="BK54" s="3"/>
      <c r="BL54" s="589"/>
      <c r="BM54" s="589"/>
      <c r="BN54" s="589"/>
      <c r="BO54" s="589"/>
      <c r="BP54" s="589"/>
      <c r="BQ54" s="3"/>
      <c r="BR54" s="3"/>
      <c r="BS54" s="589"/>
      <c r="BT54" s="589"/>
      <c r="BU54" s="589"/>
      <c r="BV54" s="589"/>
      <c r="BW54" s="3"/>
      <c r="BX54" s="589"/>
      <c r="BY54" s="3"/>
      <c r="BZ54" s="3"/>
      <c r="CA54" s="589"/>
      <c r="CB54" s="589"/>
      <c r="CC54" s="589"/>
      <c r="CD54" s="589"/>
      <c r="CE54" s="589"/>
      <c r="CF54" s="3"/>
      <c r="CG54" s="592"/>
      <c r="CH54" s="3"/>
      <c r="CI54" s="589"/>
      <c r="CJ54" s="589"/>
      <c r="CK54" s="589"/>
      <c r="CL54" s="589"/>
      <c r="CM54" s="589"/>
      <c r="CN54" s="3"/>
      <c r="CO54" s="592"/>
      <c r="CP54" s="3"/>
      <c r="CQ54" s="589"/>
      <c r="CR54" s="589"/>
      <c r="CS54" s="589"/>
      <c r="CT54" s="589"/>
      <c r="CU54" s="592"/>
      <c r="CV54" s="3"/>
      <c r="CW54" s="3"/>
      <c r="CX54" s="591"/>
      <c r="CY54" s="589"/>
      <c r="CZ54" s="589"/>
      <c r="DA54" s="589"/>
      <c r="DB54" s="3"/>
      <c r="DC54" s="3"/>
      <c r="DD54" s="3"/>
      <c r="DE54" s="591"/>
      <c r="DF54" s="591"/>
      <c r="DG54" s="591"/>
      <c r="DH54" s="591"/>
      <c r="DI54" s="290"/>
      <c r="DJ54" s="591"/>
      <c r="DK54" s="3"/>
      <c r="DL54" s="591"/>
      <c r="DM54" s="591"/>
      <c r="DN54" s="591"/>
      <c r="DO54" s="591"/>
      <c r="DP54" s="594"/>
      <c r="DQ54" s="3"/>
      <c r="DR54" s="3"/>
      <c r="DS54" s="3"/>
      <c r="DT54" s="591"/>
      <c r="DU54" s="591"/>
      <c r="DV54" s="3"/>
      <c r="DW54" s="3"/>
      <c r="DX54" s="594"/>
      <c r="DY54" s="594"/>
      <c r="DZ54" s="594"/>
      <c r="EA54" s="591"/>
      <c r="EB54" s="591"/>
      <c r="EC54" s="591"/>
      <c r="ED54" s="591"/>
      <c r="EE54" s="594"/>
      <c r="EF54" s="3"/>
      <c r="EG54" s="3"/>
      <c r="EH54" s="3"/>
      <c r="EI54" s="591"/>
      <c r="EJ54" s="3"/>
      <c r="EK54" s="591"/>
      <c r="EL54" s="3"/>
      <c r="EM54" s="3"/>
      <c r="EN54" s="592"/>
      <c r="EO54" s="592"/>
      <c r="EP54" s="592"/>
      <c r="EQ54" s="3"/>
      <c r="ER54" s="3"/>
      <c r="ES54" s="3"/>
      <c r="ET54" s="3"/>
      <c r="EU54" s="3"/>
      <c r="EV54" s="3"/>
      <c r="EW54" s="4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</row>
    <row r="55" ht="15.75">
      <c r="A55" s="373" t="s">
        <v>246</v>
      </c>
      <c r="B55" s="588"/>
      <c r="C55" s="588"/>
      <c r="D55" s="589" t="str">
        <f>(D23-E23)/E23</f>
      </c>
      <c r="E55" s="589" t="str">
        <f>(E23-F23)/F23</f>
      </c>
      <c r="F55" s="589" t="str">
        <f>(F23-G23)/G23</f>
      </c>
      <c r="G55" s="589" t="str">
        <f>(G23-I23)/I23</f>
      </c>
      <c r="H55" s="589" t="str">
        <f>(H23-L23)/L23</f>
      </c>
      <c r="I55" s="589" t="str">
        <f>(I23-M23)/M23</f>
      </c>
      <c r="J55" s="590"/>
      <c r="K55" s="590"/>
      <c r="L55" s="590"/>
      <c r="M55" s="589" t="str">
        <f>(M23-N23)/N23</f>
      </c>
      <c r="N55" s="589" t="str">
        <f>(N23-O23)/O23</f>
      </c>
      <c r="O55" s="589" t="str">
        <f>(O23-P23)/P23</f>
      </c>
      <c r="P55" s="590"/>
      <c r="Q55" s="590"/>
      <c r="R55" s="590"/>
      <c r="S55" s="588"/>
      <c r="T55" s="589" t="str">
        <f>(T23-U23)/U23</f>
      </c>
      <c r="U55" s="589" t="str">
        <f>(U23-V23)/V23</f>
      </c>
      <c r="V55" s="589" t="str">
        <f>(V23-W23)/W23</f>
      </c>
      <c r="W55" s="589" t="str">
        <f>(W23-AA23)/AA23</f>
      </c>
      <c r="X55" s="588"/>
      <c r="Y55" s="590"/>
      <c r="Z55" s="590"/>
      <c r="AA55" s="589" t="str">
        <f>(AA23-AB23)/AB23</f>
      </c>
      <c r="AB55" s="589" t="str">
        <f>(AB23-AC23)/AC23</f>
      </c>
      <c r="AC55" s="589" t="str">
        <f>(AC23-AD23)/AD23</f>
      </c>
      <c r="AD55" s="589" t="str">
        <f>(AD23-AH23)/AH23</f>
      </c>
      <c r="AE55" s="588"/>
      <c r="AF55" s="590"/>
      <c r="AG55" s="590"/>
      <c r="AH55" s="589" t="str">
        <f>(AH23-AI23)/AI23</f>
      </c>
      <c r="AI55" s="589" t="str">
        <f>(AI23-AJ23)/AJ23</f>
      </c>
      <c r="AJ55" s="589" t="str">
        <f>(AJ23-AK23)/AK23</f>
      </c>
      <c r="AK55" s="589"/>
      <c r="AL55" s="589"/>
      <c r="AM55" s="3"/>
      <c r="AN55" s="3"/>
      <c r="AO55" s="589"/>
      <c r="AP55" s="589"/>
      <c r="AQ55" s="589"/>
      <c r="AR55" s="589"/>
      <c r="AS55" s="601"/>
      <c r="AT55" s="3"/>
      <c r="AU55" s="3"/>
      <c r="AV55" s="589"/>
      <c r="AW55" s="589"/>
      <c r="AX55" s="589"/>
      <c r="AY55" s="589"/>
      <c r="AZ55" s="589"/>
      <c r="BA55" s="589"/>
      <c r="BB55" s="3"/>
      <c r="BC55" s="3"/>
      <c r="BD55" s="3"/>
      <c r="BE55" s="589"/>
      <c r="BF55" s="589"/>
      <c r="BG55" s="589"/>
      <c r="BH55" s="589"/>
      <c r="BI55" s="589"/>
      <c r="BJ55" s="589"/>
      <c r="BK55" s="3"/>
      <c r="BL55" s="589"/>
      <c r="BM55" s="589"/>
      <c r="BN55" s="589"/>
      <c r="BO55" s="589"/>
      <c r="BP55" s="589"/>
      <c r="BQ55" s="3"/>
      <c r="BR55" s="3"/>
      <c r="BS55" s="589"/>
      <c r="BT55" s="589"/>
      <c r="BU55" s="589"/>
      <c r="BV55" s="589"/>
      <c r="BW55" s="3"/>
      <c r="BX55" s="589"/>
      <c r="BY55" s="3"/>
      <c r="BZ55" s="3"/>
      <c r="CA55" s="589"/>
      <c r="CB55" s="589"/>
      <c r="CC55" s="589"/>
      <c r="CD55" s="589"/>
      <c r="CE55" s="589"/>
      <c r="CF55" s="3"/>
      <c r="CG55" s="592"/>
      <c r="CH55" s="3"/>
      <c r="CI55" s="589"/>
      <c r="CJ55" s="589"/>
      <c r="CK55" s="589"/>
      <c r="CL55" s="589"/>
      <c r="CM55" s="589"/>
      <c r="CN55" s="3"/>
      <c r="CO55" s="592"/>
      <c r="CP55" s="3"/>
      <c r="CQ55" s="589"/>
      <c r="CR55" s="589"/>
      <c r="CS55" s="589"/>
      <c r="CT55" s="589"/>
      <c r="CU55" s="592"/>
      <c r="CV55" s="3"/>
      <c r="CW55" s="3"/>
      <c r="CX55" s="591"/>
      <c r="CY55" s="589"/>
      <c r="CZ55" s="589"/>
      <c r="DA55" s="589"/>
      <c r="DB55" s="3"/>
      <c r="DC55" s="3"/>
      <c r="DD55" s="3"/>
      <c r="DE55" s="591"/>
      <c r="DF55" s="591"/>
      <c r="DG55" s="591"/>
      <c r="DH55" s="591"/>
      <c r="DI55" s="290"/>
      <c r="DJ55" s="591"/>
      <c r="DK55" s="3"/>
      <c r="DL55" s="591"/>
      <c r="DM55" s="591"/>
      <c r="DN55" s="591"/>
      <c r="DO55" s="591"/>
      <c r="DP55" s="594"/>
      <c r="DQ55" s="3"/>
      <c r="DR55" s="3"/>
      <c r="DS55" s="3"/>
      <c r="DT55" s="591"/>
      <c r="DU55" s="591"/>
      <c r="DV55" s="3"/>
      <c r="DW55" s="3"/>
      <c r="DX55" s="594"/>
      <c r="DY55" s="594"/>
      <c r="DZ55" s="594"/>
      <c r="EA55" s="591"/>
      <c r="EB55" s="591"/>
      <c r="EC55" s="591"/>
      <c r="ED55" s="591"/>
      <c r="EE55" s="594"/>
      <c r="EF55" s="3"/>
      <c r="EG55" s="3"/>
      <c r="EH55" s="3"/>
      <c r="EI55" s="591"/>
      <c r="EJ55" s="3"/>
      <c r="EK55" s="591"/>
      <c r="EL55" s="3"/>
      <c r="EM55" s="3"/>
      <c r="EN55" s="592"/>
      <c r="EO55" s="592"/>
      <c r="EP55" s="592"/>
      <c r="EQ55" s="3"/>
      <c r="ER55" s="3"/>
      <c r="ES55" s="3"/>
      <c r="ET55" s="3"/>
      <c r="EU55" s="3"/>
      <c r="EV55" s="3"/>
      <c r="EW55" s="4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</row>
    <row r="56" ht="15.75">
      <c r="A56" s="8" t="s">
        <v>229</v>
      </c>
      <c r="B56" s="2"/>
      <c r="C56" s="2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589"/>
      <c r="P56" s="3"/>
      <c r="Q56" s="3"/>
      <c r="R56" s="3"/>
      <c r="S56" s="2"/>
      <c r="T56" s="2"/>
      <c r="U56" s="2"/>
      <c r="V56" s="2"/>
      <c r="W56" s="2"/>
      <c r="X56" s="2"/>
      <c r="Y56" s="3"/>
      <c r="Z56" s="3"/>
      <c r="AA56" s="2"/>
      <c r="AB56" s="2"/>
      <c r="AC56" s="2"/>
      <c r="AD56" s="2"/>
      <c r="AE56" s="2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589" t="str">
        <f>(AP29-AS56)/AS56</f>
      </c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589"/>
      <c r="BO56" s="589"/>
      <c r="BP56" s="589"/>
      <c r="BQ56" s="3"/>
      <c r="BR56" s="3"/>
      <c r="BS56" s="3"/>
      <c r="BT56" s="3"/>
      <c r="BU56" s="589"/>
      <c r="BV56" s="589" t="str">
        <f>(BV29-BX29)/BX29</f>
      </c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592"/>
      <c r="CH56" s="3"/>
      <c r="CI56" s="3"/>
      <c r="CJ56" s="3"/>
      <c r="CK56" s="589"/>
      <c r="CL56" s="589" t="str">
        <f>(CL29-CO56)/CO56</f>
      </c>
      <c r="CM56" s="589"/>
      <c r="CN56" s="3"/>
      <c r="CO56" s="616" t="n">
        <v>3813.75</v>
      </c>
      <c r="CP56" s="3"/>
      <c r="CQ56" s="3"/>
      <c r="CR56" s="3"/>
      <c r="CS56" s="3"/>
      <c r="CT56" s="3"/>
      <c r="CU56" s="592"/>
      <c r="CV56" s="3"/>
      <c r="CW56" s="3"/>
      <c r="CX56" s="591" t="str">
        <f>(CX17-CY17)/CY17</f>
      </c>
      <c r="CY56" s="591" t="str">
        <f>(CY17-CZ17)/CZ17</f>
      </c>
      <c r="CZ56" s="589"/>
      <c r="DA56" s="589" t="str">
        <f>(DB56-DE17)/DE17</f>
      </c>
      <c r="DB56" s="3"/>
      <c r="DC56" s="3"/>
      <c r="DD56" s="3"/>
      <c r="DE56" s="591" t="str">
        <f>(DE17-DF17)/DF17</f>
      </c>
      <c r="DF56" s="591" t="str">
        <f>(DF17-DG17)/DG17</f>
      </c>
      <c r="DG56" s="591" t="str">
        <f>(DG17-DH17)/DH17</f>
      </c>
      <c r="DH56" s="591" t="str">
        <f>(DH17-DI56)/DI56</f>
      </c>
      <c r="DI56" s="204" t="str">
        <f>DI43/DI53</f>
      </c>
      <c r="DJ56" s="591" t="str">
        <f>(DI56-DM17)/DM17</f>
      </c>
      <c r="DK56" s="3"/>
      <c r="DL56" s="591"/>
      <c r="DM56" s="591" t="str">
        <f>(DM17-DN17)/DN17</f>
      </c>
      <c r="DN56" s="591" t="str">
        <f>(DN17-DO17)/DO17</f>
      </c>
      <c r="DO56" s="591"/>
      <c r="DP56" s="594"/>
      <c r="DQ56" s="3"/>
      <c r="DR56" s="3"/>
      <c r="DS56" s="3"/>
      <c r="DT56" s="591"/>
      <c r="DU56" s="591"/>
      <c r="DV56" s="3"/>
      <c r="DW56" s="3"/>
      <c r="DX56" s="617"/>
      <c r="DY56" s="594"/>
      <c r="DZ56" s="617" t="n">
        <v>3985.0048</v>
      </c>
      <c r="EA56" s="591" t="str">
        <f>(EA17-EB17)/EB17</f>
      </c>
      <c r="EB56" s="591" t="str">
        <f>(EB17-EC17)/EC17</f>
      </c>
      <c r="EC56" s="591" t="str">
        <f>(EC17-ED17)/ED17</f>
      </c>
      <c r="ED56" s="591"/>
      <c r="EE56" s="594"/>
      <c r="EF56" s="3"/>
      <c r="EG56" s="3"/>
      <c r="EH56" s="3"/>
      <c r="EI56" s="591"/>
      <c r="EJ56" s="3"/>
      <c r="EK56" s="591"/>
      <c r="EL56" s="3"/>
      <c r="EM56" s="3"/>
      <c r="EN56" s="592"/>
      <c r="EO56" s="592"/>
      <c r="EP56" s="592"/>
      <c r="EQ56" s="3"/>
      <c r="ER56" s="3"/>
      <c r="ES56" s="3"/>
      <c r="ET56" s="3"/>
      <c r="EU56" s="3"/>
      <c r="EV56" s="3"/>
      <c r="EW56" s="4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</row>
    <row r="57" ht="15.75">
      <c r="A57" s="611"/>
      <c r="B57" s="588"/>
      <c r="C57" s="588"/>
      <c r="D57" s="588"/>
      <c r="E57" s="588"/>
      <c r="F57" s="588"/>
      <c r="G57" s="588"/>
      <c r="H57" s="588"/>
      <c r="I57" s="588"/>
      <c r="J57" s="590"/>
      <c r="K57" s="590"/>
      <c r="L57" s="590"/>
      <c r="M57" s="590"/>
      <c r="N57" s="590"/>
      <c r="O57" s="590"/>
      <c r="P57" s="590"/>
      <c r="Q57" s="590"/>
      <c r="R57" s="590"/>
      <c r="S57" s="588"/>
      <c r="T57" s="588"/>
      <c r="U57" s="588"/>
      <c r="V57" s="588"/>
      <c r="W57" s="588"/>
      <c r="X57" s="588"/>
      <c r="Y57" s="590"/>
      <c r="Z57" s="590"/>
      <c r="AA57" s="588"/>
      <c r="AB57" s="588"/>
      <c r="AC57" s="588"/>
      <c r="AD57" s="588"/>
      <c r="AE57" s="588"/>
      <c r="AF57" s="590"/>
      <c r="AG57" s="590"/>
      <c r="AH57" s="590"/>
      <c r="AI57" s="590"/>
      <c r="AJ57" s="590"/>
      <c r="AK57" s="590"/>
      <c r="AL57" s="590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589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592"/>
      <c r="CV57" s="3"/>
      <c r="CW57" s="3"/>
      <c r="CX57" s="591" t="str">
        <f>(CX18-CY18)/CY18</f>
      </c>
      <c r="CY57" s="589" t="str">
        <f>(CY18-CZ18)/CZ18</f>
      </c>
      <c r="CZ57" s="589"/>
      <c r="DA57" s="589" t="str">
        <f>(DB57-DE21)/DE21</f>
      </c>
      <c r="DB57" s="592" t="n">
        <v>218492</v>
      </c>
      <c r="DC57" s="3"/>
      <c r="DD57" s="3"/>
      <c r="DE57" s="591" t="str">
        <f>(DE18-DF18)/DF18</f>
      </c>
      <c r="DF57" s="591" t="str">
        <f>(DF18-DG18)/DG18</f>
      </c>
      <c r="DG57" s="591" t="str">
        <f>(DG18-DH18)/DH18</f>
      </c>
      <c r="DH57" s="591" t="str">
        <f>(DH18-DI57)/DI57</f>
      </c>
      <c r="DI57" s="339"/>
      <c r="DJ57" s="591" t="str">
        <f>(DI57-DM18)/DM18</f>
      </c>
      <c r="DK57" s="3"/>
      <c r="DL57" s="591"/>
      <c r="DM57" s="591" t="str">
        <f>(DM18-DN18)/DN18</f>
      </c>
      <c r="DN57" s="591" t="str">
        <f>(DN18-DO18)/DO18</f>
      </c>
      <c r="DO57" s="591"/>
      <c r="DP57" s="594"/>
      <c r="DQ57" s="3"/>
      <c r="DR57" s="3"/>
      <c r="DS57" s="3"/>
      <c r="DT57" s="591"/>
      <c r="DU57" s="591"/>
      <c r="DV57" s="3"/>
      <c r="DW57" s="3"/>
      <c r="DX57" s="595"/>
      <c r="DY57" s="594"/>
      <c r="DZ57" s="595"/>
      <c r="EA57" s="591" t="str">
        <f>(EA18-EB18)/EB18</f>
      </c>
      <c r="EB57" s="591" t="str">
        <f>(EB18-EC18)/EC18</f>
      </c>
      <c r="EC57" s="591" t="str">
        <f>(EC18-ED18)/ED18</f>
      </c>
      <c r="ED57" s="591"/>
      <c r="EE57" s="594"/>
      <c r="EF57" s="3"/>
      <c r="EG57" s="3"/>
      <c r="EH57" s="3"/>
      <c r="EI57" s="591"/>
      <c r="EJ57" s="3"/>
      <c r="EK57" s="591"/>
      <c r="EL57" s="3"/>
      <c r="EM57" s="3"/>
      <c r="EN57" s="592"/>
      <c r="EO57" s="592"/>
      <c r="EP57" s="592"/>
      <c r="EQ57" s="3"/>
      <c r="ER57" s="3"/>
      <c r="ES57" s="3"/>
      <c r="ET57" s="3"/>
      <c r="EU57" s="3"/>
      <c r="EV57" s="3"/>
      <c r="EW57" s="4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</row>
    <row r="58" ht="15.75">
      <c r="A58" s="611"/>
      <c r="B58" s="588"/>
      <c r="C58" s="588"/>
      <c r="D58" s="588"/>
      <c r="E58" s="588"/>
      <c r="F58" s="588"/>
      <c r="G58" s="588"/>
      <c r="H58" s="588"/>
      <c r="I58" s="588"/>
      <c r="J58" s="590"/>
      <c r="K58" s="590"/>
      <c r="L58" s="590"/>
      <c r="M58" s="590"/>
      <c r="N58" s="590"/>
      <c r="O58" s="590"/>
      <c r="P58" s="590"/>
      <c r="Q58" s="590"/>
      <c r="R58" s="590"/>
      <c r="S58" s="588"/>
      <c r="T58" s="588"/>
      <c r="U58" s="588"/>
      <c r="V58" s="588"/>
      <c r="W58" s="588"/>
      <c r="X58" s="588"/>
      <c r="Y58" s="590"/>
      <c r="Z58" s="590"/>
      <c r="AA58" s="588"/>
      <c r="AB58" s="588"/>
      <c r="AC58" s="588"/>
      <c r="AD58" s="588"/>
      <c r="AE58" s="588"/>
      <c r="AF58" s="590"/>
      <c r="AG58" s="590"/>
      <c r="AH58" s="590"/>
      <c r="AI58" s="590"/>
      <c r="AJ58" s="590"/>
      <c r="AK58" s="590"/>
      <c r="AL58" s="590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592"/>
      <c r="CV58" s="3"/>
      <c r="CW58" s="3"/>
      <c r="CX58" s="591" t="str">
        <f>(CX19-CY19)/CY19</f>
      </c>
      <c r="CY58" s="591" t="str">
        <f>(CY19-CZ19)/CZ19</f>
      </c>
      <c r="CZ58" s="589"/>
      <c r="DA58" s="589" t="str">
        <f>(DB58-DE22)/DE22</f>
      </c>
      <c r="DB58" s="3" t="n">
        <v>20</v>
      </c>
      <c r="DC58" s="3"/>
      <c r="DD58" s="3"/>
      <c r="DE58" s="591" t="str">
        <f>(DE19-DF19)/DF19</f>
      </c>
      <c r="DF58" s="591" t="str">
        <f>(DF19-DG19)/DG19</f>
      </c>
      <c r="DG58" s="591" t="str">
        <f>(DG19-DH19)/DH19</f>
      </c>
      <c r="DH58" s="591" t="str">
        <f>(DH19-DI58)/DI58</f>
      </c>
      <c r="DI58" s="339"/>
      <c r="DJ58" s="591" t="str">
        <f>(DI58-DM19)/DM19</f>
      </c>
      <c r="DK58" s="3"/>
      <c r="DL58" s="591"/>
      <c r="DM58" s="591" t="str">
        <f>(DM19-DN19)/DN19</f>
      </c>
      <c r="DN58" s="591" t="str">
        <f>(DN19-DO19)/DO19</f>
      </c>
      <c r="DO58" s="591"/>
      <c r="DP58" s="594"/>
      <c r="DQ58" s="3"/>
      <c r="DR58" s="3"/>
      <c r="DS58" s="3"/>
      <c r="DT58" s="591"/>
      <c r="DU58" s="591"/>
      <c r="DV58" s="3"/>
      <c r="DW58" s="3"/>
      <c r="DX58" s="595"/>
      <c r="DY58" s="594"/>
      <c r="DZ58" s="595"/>
      <c r="EA58" s="591" t="str">
        <f>(EA19-EB19)/EB19</f>
      </c>
      <c r="EB58" s="591" t="str">
        <f>(EB19-EC19)/EC19</f>
      </c>
      <c r="EC58" s="591" t="str">
        <f>(EC19-ED19)/ED19</f>
      </c>
      <c r="ED58" s="591"/>
      <c r="EE58" s="594"/>
      <c r="EF58" s="3"/>
      <c r="EG58" s="3"/>
      <c r="EH58" s="3"/>
      <c r="EI58" s="591"/>
      <c r="EJ58" s="3"/>
      <c r="EK58" s="591"/>
      <c r="EL58" s="3"/>
      <c r="EM58" s="3"/>
      <c r="EN58" s="592"/>
      <c r="EO58" s="592"/>
      <c r="EP58" s="592"/>
      <c r="EQ58" s="3"/>
      <c r="ER58" s="3"/>
      <c r="ES58" s="3"/>
      <c r="ET58" s="3"/>
      <c r="EU58" s="3"/>
      <c r="EV58" s="3"/>
      <c r="EW58" s="4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</row>
    <row r="59" ht="15.75">
      <c r="A59" s="611" t="s">
        <v>247</v>
      </c>
      <c r="B59" s="588"/>
      <c r="C59" s="588"/>
      <c r="D59" s="588"/>
      <c r="E59" s="588"/>
      <c r="F59" s="588"/>
      <c r="G59" s="588"/>
      <c r="H59" s="588"/>
      <c r="I59" s="588"/>
      <c r="J59" s="590"/>
      <c r="K59" s="590"/>
      <c r="L59" s="590"/>
      <c r="M59" s="590"/>
      <c r="N59" s="590"/>
      <c r="O59" s="590"/>
      <c r="P59" s="590"/>
      <c r="Q59" s="590"/>
      <c r="R59" s="590"/>
      <c r="S59" s="588"/>
      <c r="T59" s="588"/>
      <c r="U59" s="588"/>
      <c r="V59" s="588"/>
      <c r="W59" s="588"/>
      <c r="X59" s="588"/>
      <c r="Y59" s="590"/>
      <c r="Z59" s="590"/>
      <c r="AA59" s="588"/>
      <c r="AB59" s="588"/>
      <c r="AC59" s="588"/>
      <c r="AD59" s="588"/>
      <c r="AE59" s="588"/>
      <c r="AF59" s="590"/>
      <c r="AG59" s="590"/>
      <c r="AH59" s="590"/>
      <c r="AI59" s="590"/>
      <c r="AJ59" s="590"/>
      <c r="AK59" s="590"/>
      <c r="AL59" s="590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592"/>
      <c r="CV59" s="3"/>
      <c r="CW59" s="3"/>
      <c r="CX59" s="591" t="str">
        <f>(CX20-CY20)/CY20</f>
      </c>
      <c r="CY59" s="589" t="str">
        <f>(CY20-CZ20)/CZ20</f>
      </c>
      <c r="CZ59" s="589"/>
      <c r="DA59" s="589" t="str">
        <f>(DB59-DE24)/DE24</f>
      </c>
      <c r="DB59" s="3" t="n">
        <v>4041</v>
      </c>
      <c r="DC59" s="3"/>
      <c r="DD59" s="3"/>
      <c r="DE59" s="591" t="str">
        <f>(DE20-DF20)/DF20</f>
      </c>
      <c r="DF59" s="591" t="str">
        <f>(DF20-DG20)/DG20</f>
      </c>
      <c r="DG59" s="591" t="str">
        <f>(DG20-DH20)/DH20</f>
      </c>
      <c r="DH59" s="591" t="str">
        <f>(DH20-DI59)/DI59</f>
      </c>
      <c r="DI59" s="361"/>
      <c r="DJ59" s="591" t="str">
        <f>(DI59-DM20)/DM20</f>
      </c>
      <c r="DK59" s="3"/>
      <c r="DL59" s="591"/>
      <c r="DM59" s="591" t="str">
        <f>(DM20-DN20)/DN20</f>
      </c>
      <c r="DN59" s="591" t="str">
        <f>(DN20-DO20)/DO20</f>
      </c>
      <c r="DO59" s="591"/>
      <c r="DP59" s="594"/>
      <c r="DQ59" s="3"/>
      <c r="DR59" s="3"/>
      <c r="DS59" s="3"/>
      <c r="DT59" s="591"/>
      <c r="DU59" s="591"/>
      <c r="DV59" s="3"/>
      <c r="DW59" s="3"/>
      <c r="DX59" s="594"/>
      <c r="DY59" s="594"/>
      <c r="DZ59" s="594"/>
      <c r="EA59" s="591" t="str">
        <f>(EA20-EB20)/EB20</f>
      </c>
      <c r="EB59" s="591" t="str">
        <f>(EB20-EC20)/EC20</f>
      </c>
      <c r="EC59" s="591" t="str">
        <f>(EC20-ED20)/ED20</f>
      </c>
      <c r="ED59" s="591"/>
      <c r="EE59" s="594"/>
      <c r="EF59" s="3"/>
      <c r="EG59" s="3"/>
      <c r="EH59" s="3"/>
      <c r="EI59" s="591"/>
      <c r="EJ59" s="3"/>
      <c r="EK59" s="591"/>
      <c r="EL59" s="3"/>
      <c r="EM59" s="3"/>
      <c r="EN59" s="592"/>
      <c r="EO59" s="592"/>
      <c r="EP59" s="592"/>
      <c r="EQ59" s="3"/>
      <c r="ER59" s="3"/>
      <c r="ES59" s="3"/>
      <c r="ET59" s="3"/>
      <c r="EU59" s="3"/>
      <c r="EV59" s="3"/>
      <c r="EW59" s="4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</row>
    <row r="60" ht="15.75">
      <c r="A60" s="8" t="s">
        <v>248</v>
      </c>
      <c r="B60" s="2"/>
      <c r="C60" s="2"/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2"/>
      <c r="T60" s="2"/>
      <c r="U60" s="2"/>
      <c r="V60" s="2"/>
      <c r="W60" s="2"/>
      <c r="X60" s="2"/>
      <c r="Y60" s="3"/>
      <c r="Z60" s="3"/>
      <c r="AA60" s="2"/>
      <c r="AB60" s="2"/>
      <c r="AC60" s="2"/>
      <c r="AD60" s="2"/>
      <c r="AE60" s="2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592"/>
      <c r="CV60" s="3"/>
      <c r="CW60" s="3"/>
      <c r="CX60" s="591" t="str">
        <f>(CX21-CY21)/CY21</f>
      </c>
      <c r="CY60" s="591" t="str">
        <f>(CY21-CZ21)/CZ21</f>
      </c>
      <c r="CZ60" s="3"/>
      <c r="DA60" s="3"/>
      <c r="DB60" s="3"/>
      <c r="DC60" s="3"/>
      <c r="DD60" s="3"/>
      <c r="DE60" s="591" t="str">
        <f>(DE21-DF21)/DF21</f>
      </c>
      <c r="DF60" s="591" t="str">
        <f>(DF21-DG21)/DG21</f>
      </c>
      <c r="DG60" s="591" t="str">
        <f>(DG21-DH21)/DH21</f>
      </c>
      <c r="DH60" s="591" t="str">
        <f>(DH21-DI60)/DI60</f>
      </c>
      <c r="DI60" s="122" t="n">
        <v>771071</v>
      </c>
      <c r="DJ60" s="591" t="str">
        <f>(DI60-DM21)/DM21</f>
      </c>
      <c r="DK60" s="3"/>
      <c r="DL60" s="591"/>
      <c r="DM60" s="591" t="str">
        <f>(DM21-DN21)/DN21</f>
      </c>
      <c r="DN60" s="591" t="str">
        <f>(DN21-DO21)/DO21</f>
      </c>
      <c r="DO60" s="591"/>
      <c r="DP60" s="594"/>
      <c r="DQ60" s="3"/>
      <c r="DR60" s="3"/>
      <c r="DS60" s="3"/>
      <c r="DT60" s="591"/>
      <c r="DU60" s="591"/>
      <c r="DV60" s="3"/>
      <c r="DW60" s="3"/>
      <c r="DX60" s="595"/>
      <c r="DY60" s="594"/>
      <c r="DZ60" s="595" t="n">
        <v>131975.53</v>
      </c>
      <c r="EA60" s="591" t="str">
        <f>(EA21-EB21)/EB21</f>
      </c>
      <c r="EB60" s="591" t="str">
        <f>(EB21-EC21)/EC21</f>
      </c>
      <c r="EC60" s="591" t="str">
        <f>(EC21-ED21)/ED21</f>
      </c>
      <c r="ED60" s="591"/>
      <c r="EE60" s="594"/>
      <c r="EF60" s="3"/>
      <c r="EG60" s="3"/>
      <c r="EH60" s="3"/>
      <c r="EI60" s="591"/>
      <c r="EJ60" s="3"/>
      <c r="EK60" s="591"/>
      <c r="EL60" s="3"/>
      <c r="EM60" s="3"/>
      <c r="EN60" s="592"/>
      <c r="EO60" s="592"/>
      <c r="EP60" s="592"/>
      <c r="EQ60" s="3"/>
      <c r="ER60" s="3"/>
      <c r="ES60" s="3"/>
      <c r="ET60" s="3"/>
      <c r="EU60" s="3"/>
      <c r="EV60" s="3"/>
      <c r="EW60" s="4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</row>
    <row r="61" ht="15.75">
      <c r="A61" s="8" t="s">
        <v>249</v>
      </c>
      <c r="B61" s="2"/>
      <c r="C61" s="2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2"/>
      <c r="T61" s="2"/>
      <c r="U61" s="2"/>
      <c r="V61" s="2"/>
      <c r="W61" s="2"/>
      <c r="X61" s="2"/>
      <c r="Y61" s="3"/>
      <c r="Z61" s="3"/>
      <c r="AA61" s="2"/>
      <c r="AB61" s="2"/>
      <c r="AC61" s="2"/>
      <c r="AD61" s="2"/>
      <c r="AE61" s="2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591" t="str">
        <f>(CX22-CY22)/CY22</f>
      </c>
      <c r="CY61" s="589" t="str">
        <f>(CY22-CZ22)/CZ22</f>
      </c>
      <c r="CZ61" s="3"/>
      <c r="DA61" s="3"/>
      <c r="DB61" s="3"/>
      <c r="DC61" s="3"/>
      <c r="DD61" s="3"/>
      <c r="DE61" s="591" t="str">
        <f>(DE22-DF22)/DF22</f>
      </c>
      <c r="DF61" s="591" t="str">
        <f>(DF22-DG22)/DG22</f>
      </c>
      <c r="DG61" s="591" t="str">
        <f>(DG22-DH22)/DH22</f>
      </c>
      <c r="DH61" s="591" t="str">
        <f>(DH22-DI61)/DI61</f>
      </c>
      <c r="DI61" s="193" t="n">
        <v>44</v>
      </c>
      <c r="DJ61" s="591" t="str">
        <f>(DI61-DM22)/DM22</f>
      </c>
      <c r="DK61" s="3"/>
      <c r="DL61" s="591"/>
      <c r="DM61" s="591" t="str">
        <f>(DM22-DN22)/DN22</f>
      </c>
      <c r="DN61" s="591" t="str">
        <f>(DN22-DO22)/DO22</f>
      </c>
      <c r="DO61" s="3"/>
      <c r="DP61" s="589"/>
      <c r="DQ61" s="3"/>
      <c r="DR61" s="3"/>
      <c r="DS61" s="3"/>
      <c r="DT61" s="591"/>
      <c r="DU61" s="591"/>
      <c r="DV61" s="3"/>
      <c r="DW61" s="3"/>
      <c r="DX61" s="594"/>
      <c r="DY61" s="594"/>
      <c r="DZ61" s="594" t="n">
        <v>11</v>
      </c>
      <c r="EA61" s="591" t="str">
        <f>(EA22-EB22)/EB22</f>
      </c>
      <c r="EB61" s="591" t="str">
        <f>(EB22-EC22)/EC22</f>
      </c>
      <c r="EC61" s="591" t="str">
        <f>(EC22-ED22)/ED22</f>
      </c>
      <c r="ED61" s="591"/>
      <c r="EE61" s="594"/>
      <c r="EF61" s="3"/>
      <c r="EG61" s="3"/>
      <c r="EH61" s="3"/>
      <c r="EI61" s="591"/>
      <c r="EJ61" s="3"/>
      <c r="EK61" s="591"/>
      <c r="EL61" s="3"/>
      <c r="EM61" s="3"/>
      <c r="EN61" s="592"/>
      <c r="EO61" s="592"/>
      <c r="EP61" s="592"/>
      <c r="EQ61" s="3"/>
      <c r="ER61" s="3"/>
      <c r="ES61" s="3"/>
      <c r="ET61" s="3"/>
      <c r="EU61" s="3"/>
      <c r="EV61" s="3"/>
      <c r="EW61" s="4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</row>
    <row r="62" ht="15.75">
      <c r="A62" s="8" t="s">
        <v>250</v>
      </c>
      <c r="B62" s="2"/>
      <c r="C62" s="2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2"/>
      <c r="T62" s="2"/>
      <c r="U62" s="2"/>
      <c r="V62" s="2"/>
      <c r="W62" s="2"/>
      <c r="X62" s="2"/>
      <c r="Y62" s="3"/>
      <c r="Z62" s="3"/>
      <c r="AA62" s="2"/>
      <c r="AB62" s="2"/>
      <c r="AC62" s="2"/>
      <c r="AD62" s="2"/>
      <c r="AE62" s="2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591" t="str">
        <f>(CX24-CY24)/CY24</f>
      </c>
      <c r="CY62" s="591" t="str">
        <f>(CY24-CZ24)/CZ24</f>
      </c>
      <c r="CZ62" s="3"/>
      <c r="DA62" s="3"/>
      <c r="DB62" s="3"/>
      <c r="DC62" s="3"/>
      <c r="DD62" s="3"/>
      <c r="DE62" s="591" t="str">
        <f>(DE24-DF24)/DF24</f>
      </c>
      <c r="DF62" s="591" t="str">
        <f>(DF24-DG24)/DG24</f>
      </c>
      <c r="DG62" s="591" t="str">
        <f>(DG24-DH24)/DH24</f>
      </c>
      <c r="DH62" s="591" t="str">
        <f>(DH24-DI62)/DI62</f>
      </c>
      <c r="DI62" s="401" t="s">
        <v>251</v>
      </c>
      <c r="DJ62" s="591" t="str">
        <f>(DI62-DM24)/DM24</f>
      </c>
      <c r="DK62" s="3"/>
      <c r="DL62" s="591"/>
      <c r="DM62" s="591" t="str">
        <f>(DM24-DN24)/DN24</f>
      </c>
      <c r="DN62" s="591" t="str">
        <f>(DN24-DO24)/DO24</f>
      </c>
      <c r="DO62" s="3"/>
      <c r="DP62" s="3"/>
      <c r="DQ62" s="3"/>
      <c r="DR62" s="3"/>
      <c r="DS62" s="3"/>
      <c r="DT62" s="591"/>
      <c r="DU62" s="591"/>
      <c r="DV62" s="3"/>
      <c r="DW62" s="3"/>
      <c r="DX62" s="618"/>
      <c r="DY62" s="594"/>
      <c r="DZ62" s="618" t="s">
        <v>190</v>
      </c>
      <c r="EA62" s="591" t="str">
        <f>(EA24-EB24)/EB24</f>
      </c>
      <c r="EB62" s="591" t="str">
        <f>(EB24-EC24)/EC24</f>
      </c>
      <c r="EC62" s="591" t="str">
        <f>(EC24-ED24)/ED24</f>
      </c>
      <c r="ED62" s="591"/>
      <c r="EE62" s="594"/>
      <c r="EF62" s="3"/>
      <c r="EG62" s="3"/>
      <c r="EH62" s="3"/>
      <c r="EI62" s="591"/>
      <c r="EJ62" s="3"/>
      <c r="EK62" s="591"/>
      <c r="EL62" s="3"/>
      <c r="EM62" s="3"/>
      <c r="EN62" s="592"/>
      <c r="EO62" s="592"/>
      <c r="EP62" s="592"/>
      <c r="EQ62" s="3"/>
      <c r="ER62" s="3"/>
      <c r="ES62" s="3"/>
      <c r="ET62" s="3"/>
      <c r="EU62" s="3"/>
      <c r="EV62" s="3"/>
      <c r="EW62" s="4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</row>
    <row r="63" ht="15.75">
      <c r="A63" s="8" t="s">
        <v>252</v>
      </c>
      <c r="B63" s="2"/>
      <c r="C63" s="2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2"/>
      <c r="T63" s="2"/>
      <c r="U63" s="2"/>
      <c r="V63" s="2"/>
      <c r="W63" s="2"/>
      <c r="X63" s="2"/>
      <c r="Y63" s="3"/>
      <c r="Z63" s="3"/>
      <c r="AA63" s="2"/>
      <c r="AB63" s="2"/>
      <c r="AC63" s="2"/>
      <c r="AD63" s="2"/>
      <c r="AE63" s="2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591" t="str">
        <f>(CX25-CY25)/CY25</f>
      </c>
      <c r="CY63" s="589" t="str">
        <f>(CY25-CZ25)/CZ25</f>
      </c>
      <c r="CZ63" s="3"/>
      <c r="DA63" s="3"/>
      <c r="DB63" s="3"/>
      <c r="DC63" s="3"/>
      <c r="DD63" s="3"/>
      <c r="DE63" s="591" t="str">
        <f>(DE25-DF25)/DF25</f>
      </c>
      <c r="DF63" s="591" t="str">
        <f>(DF25-DG25)/DG25</f>
      </c>
      <c r="DG63" s="591" t="str">
        <f>(DG25-DH25)/DH25</f>
      </c>
      <c r="DH63" s="591" t="str">
        <f>(DH25-DI63)/DI63</f>
      </c>
      <c r="DI63" s="248" t="n">
        <v>0.0348</v>
      </c>
      <c r="DJ63" s="591" t="str">
        <f>(DI63-DM25)/DM25</f>
      </c>
      <c r="DK63" s="3"/>
      <c r="DL63" s="591"/>
      <c r="DM63" s="591" t="str">
        <f>(DM25-DN25)/DN25</f>
      </c>
      <c r="DN63" s="591" t="str">
        <f>(DN25-DO25)/DO25</f>
      </c>
      <c r="DO63" s="3"/>
      <c r="DP63" s="3"/>
      <c r="DQ63" s="3"/>
      <c r="DR63" s="3"/>
      <c r="DS63" s="3"/>
      <c r="DT63" s="591"/>
      <c r="DU63" s="591"/>
      <c r="DV63" s="3"/>
      <c r="DW63" s="3"/>
      <c r="DX63" s="589"/>
      <c r="DY63" s="594"/>
      <c r="DZ63" s="589" t="n">
        <v>0.0181</v>
      </c>
      <c r="EA63" s="591" t="str">
        <f>(EA25-EB25)/EB25</f>
      </c>
      <c r="EB63" s="591" t="str">
        <f>(EB25-EC25)/EC25</f>
      </c>
      <c r="EC63" s="591" t="str">
        <f>(EC25-ED25)/ED25</f>
      </c>
      <c r="ED63" s="591"/>
      <c r="EE63" s="594"/>
      <c r="EF63" s="3"/>
      <c r="EG63" s="3"/>
      <c r="EH63" s="3"/>
      <c r="EI63" s="591"/>
      <c r="EJ63" s="3"/>
      <c r="EK63" s="3"/>
      <c r="EL63" s="3"/>
      <c r="EM63" s="3"/>
      <c r="EN63" s="592"/>
      <c r="EO63" s="592"/>
      <c r="EP63" s="592"/>
      <c r="EQ63" s="3"/>
      <c r="ER63" s="3"/>
      <c r="ES63" s="3"/>
      <c r="ET63" s="3"/>
      <c r="EU63" s="3"/>
      <c r="EV63" s="3"/>
      <c r="EW63" s="4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</row>
    <row r="64" ht="15.75">
      <c r="A64" s="8" t="s">
        <v>253</v>
      </c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2"/>
      <c r="T64" s="2"/>
      <c r="U64" s="2"/>
      <c r="V64" s="2"/>
      <c r="W64" s="2"/>
      <c r="X64" s="2"/>
      <c r="Y64" s="3"/>
      <c r="Z64" s="3"/>
      <c r="AA64" s="2"/>
      <c r="AB64" s="2"/>
      <c r="AC64" s="2"/>
      <c r="AD64" s="2"/>
      <c r="AE64" s="2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591" t="str">
        <f>(CX26-CY26)/CY26</f>
      </c>
      <c r="CY64" s="591" t="str">
        <f>(CY26-CZ26)/CZ26</f>
      </c>
      <c r="CZ64" s="3"/>
      <c r="DA64" s="3"/>
      <c r="DB64" s="3"/>
      <c r="DC64" s="3"/>
      <c r="DD64" s="3"/>
      <c r="DE64" s="591" t="str">
        <f>(DE26-DF26)/DF26</f>
      </c>
      <c r="DF64" s="591" t="str">
        <f>(DF26-DG26)/DG26</f>
      </c>
      <c r="DG64" s="591" t="str">
        <f>(DG26-DH26)/DH26</f>
      </c>
      <c r="DH64" s="591" t="str">
        <f>(DH26-DI64)/DI64</f>
      </c>
      <c r="DI64" s="248" t="n">
        <v>0.0069</v>
      </c>
      <c r="DJ64" s="591" t="str">
        <f>(DI64-DM26)/DM26</f>
      </c>
      <c r="DK64" s="3"/>
      <c r="DL64" s="591"/>
      <c r="DM64" s="591" t="str">
        <f>(DM26-DN26)/DN26</f>
      </c>
      <c r="DN64" s="591" t="str">
        <f>(DN26-DO26)/DO26</f>
      </c>
      <c r="DO64" s="3"/>
      <c r="DP64" s="3"/>
      <c r="DQ64" s="3"/>
      <c r="DR64" s="3"/>
      <c r="DS64" s="3"/>
      <c r="DT64" s="591"/>
      <c r="DU64" s="591"/>
      <c r="DV64" s="3"/>
      <c r="DW64" s="3"/>
      <c r="DX64" s="589"/>
      <c r="DY64" s="594"/>
      <c r="DZ64" s="589" t="n">
        <v>0.0038</v>
      </c>
      <c r="EA64" s="591" t="str">
        <f>(EA26-EB26)/EB26</f>
      </c>
      <c r="EB64" s="591" t="str">
        <f>(EB26-EC26)/EC26</f>
      </c>
      <c r="EC64" s="591" t="str">
        <f>(EC26-ED26)/ED26</f>
      </c>
      <c r="ED64" s="591"/>
      <c r="EE64" s="594"/>
      <c r="EF64" s="3"/>
      <c r="EG64" s="3"/>
      <c r="EH64" s="3"/>
      <c r="EI64" s="591"/>
      <c r="EJ64" s="3"/>
      <c r="EK64" s="3"/>
      <c r="EL64" s="3"/>
      <c r="EM64" s="3"/>
      <c r="EN64" s="592"/>
      <c r="EO64" s="592"/>
      <c r="EP64" s="592"/>
      <c r="EQ64" s="3"/>
      <c r="ER64" s="3"/>
      <c r="ES64" s="3"/>
      <c r="ET64" s="3"/>
      <c r="EU64" s="3"/>
      <c r="EV64" s="3"/>
      <c r="EW64" s="4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</row>
    <row r="65" ht="15.75">
      <c r="A65" s="8" t="s">
        <v>254</v>
      </c>
      <c r="B65" s="2"/>
      <c r="C65" s="2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2"/>
      <c r="T65" s="2"/>
      <c r="U65" s="2"/>
      <c r="V65" s="2"/>
      <c r="W65" s="2"/>
      <c r="X65" s="2"/>
      <c r="Y65" s="3"/>
      <c r="Z65" s="3"/>
      <c r="AA65" s="2"/>
      <c r="AB65" s="2"/>
      <c r="AC65" s="2"/>
      <c r="AD65" s="2"/>
      <c r="AE65" s="2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591" t="str">
        <f>(CX27-CY27)/CY27</f>
      </c>
      <c r="CY65" s="589" t="str">
        <f>(CY27-CZ27)/CZ27</f>
      </c>
      <c r="CZ65" s="3"/>
      <c r="DA65" s="3"/>
      <c r="DB65" s="3"/>
      <c r="DC65" s="3"/>
      <c r="DD65" s="3"/>
      <c r="DE65" s="591" t="str">
        <f>(DE27-DF27)/DF27</f>
      </c>
      <c r="DF65" s="591" t="str">
        <f>(DF27-DG27)/DG27</f>
      </c>
      <c r="DG65" s="591" t="str">
        <f>(DG27-DH27)/DH27</f>
      </c>
      <c r="DH65" s="591" t="str">
        <f>(DH27-DI65)/DI65</f>
      </c>
      <c r="DI65" s="248" t="str">
        <f>140/3956</f>
      </c>
      <c r="DJ65" s="591" t="str">
        <f>(DI65-DM27)/DM27</f>
      </c>
      <c r="DK65" s="3"/>
      <c r="DL65" s="591"/>
      <c r="DM65" s="591" t="str">
        <f>(DM27-DN27)/DN27</f>
      </c>
      <c r="DN65" s="591" t="str">
        <f>(DN27-DO27)/DO27</f>
      </c>
      <c r="DO65" s="3"/>
      <c r="DP65" s="3"/>
      <c r="DQ65" s="3"/>
      <c r="DR65" s="3"/>
      <c r="DS65" s="3"/>
      <c r="DT65" s="591"/>
      <c r="DU65" s="591"/>
      <c r="DV65" s="3"/>
      <c r="DW65" s="3"/>
      <c r="DX65" s="589"/>
      <c r="DY65" s="589"/>
      <c r="DZ65" s="589" t="n">
        <v>0.0531177829099307</v>
      </c>
      <c r="EA65" s="591" t="str">
        <f>(EA27-EB27)/EB27</f>
      </c>
      <c r="EB65" s="591" t="str">
        <f>(EB27-EC27)/EC27</f>
      </c>
      <c r="EC65" s="591" t="str">
        <f>(EC27-ED27)/ED27</f>
      </c>
      <c r="ED65" s="591"/>
      <c r="EE65" s="594"/>
      <c r="EF65" s="3"/>
      <c r="EG65" s="3"/>
      <c r="EH65" s="3"/>
      <c r="EI65" s="591"/>
      <c r="EJ65" s="3"/>
      <c r="EK65" s="3"/>
      <c r="EL65" s="3"/>
      <c r="EM65" s="3"/>
      <c r="EN65" s="592"/>
      <c r="EO65" s="592"/>
      <c r="EP65" s="592"/>
      <c r="EQ65" s="3"/>
      <c r="ER65" s="3"/>
      <c r="ES65" s="3"/>
      <c r="ET65" s="3"/>
      <c r="EU65" s="3"/>
      <c r="EV65" s="3"/>
      <c r="EW65" s="4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</row>
    <row r="66" ht="15.75">
      <c r="A66" s="0" t="s">
        <v>255</v>
      </c>
      <c r="B66" s="619"/>
      <c r="C66" s="619"/>
      <c r="D66" s="619"/>
      <c r="E66" s="619"/>
      <c r="F66" s="619"/>
      <c r="G66" s="619"/>
      <c r="H66" s="619"/>
      <c r="I66" s="619"/>
      <c r="S66" s="619"/>
      <c r="T66" s="619"/>
      <c r="U66" s="619"/>
      <c r="V66" s="619"/>
      <c r="W66" s="619"/>
      <c r="X66" s="619"/>
      <c r="AA66" s="619"/>
      <c r="AB66" s="619"/>
      <c r="AC66" s="619"/>
      <c r="AD66" s="619"/>
      <c r="AE66" s="619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591" t="str">
        <f>(CX28-CY28)/CY28</f>
      </c>
      <c r="CY66" s="591" t="str">
        <f>(CY28-CZ28)/CZ28</f>
      </c>
      <c r="CZ66" s="3"/>
      <c r="DA66" s="3"/>
      <c r="DB66" s="3"/>
      <c r="DC66" s="3"/>
      <c r="DD66" s="3"/>
      <c r="DE66" s="591" t="str">
        <f>(DE28-DF28)/DF28</f>
      </c>
      <c r="DF66" s="591" t="str">
        <f>(DF28-DG28)/DG28</f>
      </c>
      <c r="DG66" s="591" t="str">
        <f>(DG28-DH28)/DH28</f>
      </c>
      <c r="DH66" s="591" t="str">
        <f>(DH28-DI28)/DI28</f>
      </c>
      <c r="DI66" s="3"/>
      <c r="DJ66" s="3"/>
      <c r="DK66" s="3"/>
      <c r="DL66" s="591"/>
      <c r="DM66" s="591" t="str">
        <f>(DM28-DN28)/DN28</f>
      </c>
      <c r="DN66" s="591" t="str">
        <f>(DN28-DO28)/DO28</f>
      </c>
      <c r="DO66" s="3"/>
      <c r="DP66" s="3"/>
      <c r="DQ66" s="3"/>
      <c r="DR66" s="3"/>
      <c r="DS66" s="3"/>
      <c r="DT66" s="591"/>
      <c r="DU66" s="591"/>
      <c r="DV66" s="3"/>
      <c r="DW66" s="3"/>
      <c r="DX66" s="594"/>
      <c r="DY66" s="594"/>
      <c r="DZ66" s="3"/>
      <c r="EA66" s="591" t="str">
        <f>(EA28-EB28)/EB28</f>
      </c>
      <c r="EB66" s="591" t="str">
        <f>(EB28-EC28)/EC28</f>
      </c>
      <c r="EC66" s="591" t="str">
        <f>(EC28-ED28)/ED28</f>
      </c>
      <c r="ED66" s="591"/>
      <c r="EE66" s="594"/>
      <c r="EF66" s="3"/>
      <c r="EG66" s="3"/>
      <c r="EH66" s="3"/>
      <c r="EI66" s="591"/>
      <c r="EJ66" s="3"/>
      <c r="EK66" s="3"/>
      <c r="EL66" s="3"/>
      <c r="EM66" s="3"/>
      <c r="EN66" s="592"/>
      <c r="EO66" s="592"/>
      <c r="EP66" s="592"/>
      <c r="EQ66" s="3"/>
      <c r="ER66" s="3"/>
      <c r="ES66" s="3"/>
      <c r="ET66" s="3"/>
      <c r="EU66" s="3"/>
      <c r="EV66" s="3"/>
      <c r="EW66" s="4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</row>
    <row r="67" ht="15.75">
      <c r="A67" s="0" t="s">
        <v>256</v>
      </c>
      <c r="B67" s="619"/>
      <c r="C67" s="619"/>
      <c r="D67" s="619"/>
      <c r="E67" s="619"/>
      <c r="F67" s="619"/>
      <c r="G67" s="619"/>
      <c r="H67" s="619"/>
      <c r="I67" s="619"/>
      <c r="S67" s="619"/>
      <c r="T67" s="619"/>
      <c r="U67" s="619"/>
      <c r="V67" s="619"/>
      <c r="W67" s="619"/>
      <c r="X67" s="619"/>
      <c r="AA67" s="619"/>
      <c r="AB67" s="619"/>
      <c r="AC67" s="619"/>
      <c r="AD67" s="619"/>
      <c r="AE67" s="619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591" t="str">
        <f>(CX29-CY29)/CY29</f>
      </c>
      <c r="CY67" s="589" t="str">
        <f>(CY29-CZ29)/CZ29</f>
      </c>
      <c r="CZ67" s="3"/>
      <c r="DA67" s="3"/>
      <c r="DB67" s="3"/>
      <c r="DC67" s="3"/>
      <c r="DD67" s="3"/>
      <c r="DE67" s="591" t="str">
        <f>(DE29-DF29)/DF29</f>
      </c>
      <c r="DF67" s="591" t="str">
        <f>(DF29-DG29)/DG29</f>
      </c>
      <c r="DG67" s="591" t="str">
        <f>(DG29-DH29)/DH29</f>
      </c>
      <c r="DH67" s="591" t="str">
        <f>(DH29-DI29)/DI29</f>
      </c>
      <c r="DI67" s="3"/>
      <c r="DJ67" s="3"/>
      <c r="DK67" s="3"/>
      <c r="DL67" s="591"/>
      <c r="DM67" s="591" t="str">
        <f>(DM29-DN29)/DN29</f>
      </c>
      <c r="DN67" s="591" t="str">
        <f>(DN29-DO29)/DO29</f>
      </c>
      <c r="DO67" s="3"/>
      <c r="DP67" s="3"/>
      <c r="DQ67" s="3"/>
      <c r="DR67" s="3"/>
      <c r="DS67" s="3"/>
      <c r="DT67" s="591"/>
      <c r="DU67" s="591"/>
      <c r="DV67" s="3"/>
      <c r="DW67" s="3"/>
      <c r="DX67" s="595"/>
      <c r="DY67" s="594"/>
      <c r="DZ67" s="3"/>
      <c r="EA67" s="591" t="str">
        <f>(EA29-EB29)/EB29</f>
      </c>
      <c r="EB67" s="591" t="str">
        <f>(EB29-EC29)/EC29</f>
      </c>
      <c r="EC67" s="591" t="str">
        <f>(EC29-ED29)/ED29</f>
      </c>
      <c r="ED67" s="591"/>
      <c r="EE67" s="594"/>
      <c r="EF67" s="3"/>
      <c r="EG67" s="3"/>
      <c r="EH67" s="3"/>
      <c r="EI67" s="591"/>
      <c r="EJ67" s="3"/>
      <c r="EK67" s="3"/>
      <c r="EL67" s="3"/>
      <c r="EM67" s="3"/>
      <c r="EN67" s="592"/>
      <c r="EO67" s="592"/>
      <c r="EP67" s="592"/>
      <c r="EQ67" s="3"/>
      <c r="ER67" s="3"/>
      <c r="ES67" s="3"/>
      <c r="ET67" s="3"/>
      <c r="EU67" s="3"/>
      <c r="EV67" s="3"/>
      <c r="EW67" s="4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</row>
    <row r="68" ht="15.75">
      <c r="A68" s="0" t="s">
        <v>257</v>
      </c>
      <c r="B68" s="619"/>
      <c r="C68" s="619"/>
      <c r="D68" s="619"/>
      <c r="E68" s="619"/>
      <c r="F68" s="619"/>
      <c r="G68" s="619"/>
      <c r="H68" s="619"/>
      <c r="I68" s="619"/>
      <c r="S68" s="619"/>
      <c r="T68" s="619"/>
      <c r="U68" s="619"/>
      <c r="V68" s="619"/>
      <c r="W68" s="619"/>
      <c r="X68" s="619"/>
      <c r="AA68" s="619"/>
      <c r="AB68" s="619"/>
      <c r="AC68" s="619"/>
      <c r="AD68" s="619"/>
      <c r="AE68" s="619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591" t="str">
        <f>(CX30-CY30)/CY30</f>
      </c>
      <c r="CY68" s="591" t="str">
        <f>(CY30-CZ30)/CZ30</f>
      </c>
      <c r="CZ68" s="3"/>
      <c r="DA68" s="3"/>
      <c r="DB68" s="3"/>
      <c r="DC68" s="3"/>
      <c r="DD68" s="3"/>
      <c r="DE68" s="591" t="str">
        <f>(DE30-DF30)/DF30</f>
      </c>
      <c r="DF68" s="591" t="str">
        <f>(DF30-DG30)/DG30</f>
      </c>
      <c r="DG68" s="591" t="str">
        <f>(DG30-DH30)/DH30</f>
      </c>
      <c r="DH68" s="591" t="str">
        <f>(DH30-DI30)/DI30</f>
      </c>
      <c r="DI68" s="3"/>
      <c r="DJ68" s="3"/>
      <c r="DK68" s="3"/>
      <c r="DL68" s="591"/>
      <c r="DM68" s="591" t="str">
        <f>(DM30-DN30)/DN30</f>
      </c>
      <c r="DN68" s="591" t="str">
        <f>(DN30-DO30)/DO30</f>
      </c>
      <c r="DO68" s="3"/>
      <c r="DP68" s="3"/>
      <c r="DQ68" s="3"/>
      <c r="DR68" s="3"/>
      <c r="DS68" s="3"/>
      <c r="DT68" s="591"/>
      <c r="DU68" s="591"/>
      <c r="DV68" s="3"/>
      <c r="DW68" s="3"/>
      <c r="DX68" s="3"/>
      <c r="DY68" s="594"/>
      <c r="DZ68" s="3"/>
      <c r="EA68" s="591" t="str">
        <f>(EA30-EB30)/EB30</f>
      </c>
      <c r="EB68" s="591" t="str">
        <f>(EB30-EC30)/EC30</f>
      </c>
      <c r="EC68" s="591" t="str">
        <f>(EC30-ED30)/ED30</f>
      </c>
      <c r="ED68" s="3"/>
      <c r="EE68" s="594"/>
      <c r="EF68" s="3"/>
      <c r="EG68" s="3"/>
      <c r="EH68" s="3"/>
      <c r="EI68" s="591"/>
      <c r="EJ68" s="3"/>
      <c r="EK68" s="3"/>
      <c r="EL68" s="3"/>
      <c r="EM68" s="3"/>
      <c r="EN68" s="592"/>
      <c r="EO68" s="592"/>
      <c r="EP68" s="592"/>
      <c r="EQ68" s="3"/>
      <c r="ER68" s="3"/>
      <c r="ES68" s="3"/>
      <c r="ET68" s="3"/>
      <c r="EU68" s="3"/>
      <c r="EV68" s="3"/>
      <c r="EW68" s="4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</row>
    <row r="69" ht="15.75">
      <c r="A69" s="0" t="s">
        <v>258</v>
      </c>
      <c r="B69" s="619"/>
      <c r="C69" s="619"/>
      <c r="D69" s="619"/>
      <c r="E69" s="619"/>
      <c r="F69" s="619"/>
      <c r="G69" s="619"/>
      <c r="H69" s="619"/>
      <c r="I69" s="619"/>
      <c r="S69" s="619"/>
      <c r="T69" s="619"/>
      <c r="U69" s="619"/>
      <c r="V69" s="619"/>
      <c r="W69" s="619"/>
      <c r="X69" s="619"/>
      <c r="AA69" s="619"/>
      <c r="AB69" s="619"/>
      <c r="AC69" s="619"/>
      <c r="AD69" s="619"/>
      <c r="AE69" s="619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591" t="str">
        <f>(CX31-CY31)/CY31</f>
      </c>
      <c r="CY69" s="589" t="str">
        <f>(CY31-CZ31)/CZ31</f>
      </c>
      <c r="CZ69" s="3"/>
      <c r="DA69" s="3"/>
      <c r="DB69" s="3"/>
      <c r="DC69" s="3"/>
      <c r="DD69" s="3"/>
      <c r="DE69" s="591" t="str">
        <f>(DE31-DF31)/DF31</f>
      </c>
      <c r="DF69" s="591" t="str">
        <f>(DF31-DG31)/DG31</f>
      </c>
      <c r="DG69" s="591" t="str">
        <f>(DG31-DH31)/DH31</f>
      </c>
      <c r="DH69" s="591" t="str">
        <f>(DH31-DI31)/DI31</f>
      </c>
      <c r="DI69" s="3"/>
      <c r="DJ69" s="3"/>
      <c r="DK69" s="3"/>
      <c r="DL69" s="591"/>
      <c r="DM69" s="591" t="str">
        <f>(DM31-DN31)/DN31</f>
      </c>
      <c r="DN69" s="591" t="str">
        <f>(DN31-DO31)/DO31</f>
      </c>
      <c r="DO69" s="3"/>
      <c r="DP69" s="3"/>
      <c r="DQ69" s="3"/>
      <c r="DR69" s="3"/>
      <c r="DS69" s="3"/>
      <c r="DT69" s="591"/>
      <c r="DU69" s="591"/>
      <c r="DV69" s="3"/>
      <c r="DW69" s="3"/>
      <c r="DX69" s="3"/>
      <c r="DY69" s="594"/>
      <c r="DZ69" s="3"/>
      <c r="EA69" s="591" t="str">
        <f>(EA31-EB31)/EB31</f>
      </c>
      <c r="EB69" s="591" t="str">
        <f>(EB31-EC31)/EC31</f>
      </c>
      <c r="EC69" s="591" t="str">
        <f>(EC31-ED31)/ED31</f>
      </c>
      <c r="ED69" s="3"/>
      <c r="EE69" s="594"/>
      <c r="EF69" s="3"/>
      <c r="EG69" s="3"/>
      <c r="EH69" s="3"/>
      <c r="EI69" s="591"/>
      <c r="EJ69" s="3"/>
      <c r="EK69" s="3"/>
      <c r="EL69" s="3"/>
      <c r="EM69" s="3"/>
      <c r="EN69" s="592"/>
      <c r="EO69" s="592"/>
      <c r="EP69" s="592"/>
      <c r="EQ69" s="3"/>
      <c r="ER69" s="3"/>
      <c r="ES69" s="3"/>
      <c r="ET69" s="3"/>
      <c r="EU69" s="3"/>
      <c r="EV69" s="3"/>
      <c r="EW69" s="4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</row>
    <row r="70" ht="15.75">
      <c r="A70" s="0" t="s">
        <v>259</v>
      </c>
      <c r="B70" s="619"/>
      <c r="C70" s="619"/>
      <c r="D70" s="619"/>
      <c r="E70" s="619"/>
      <c r="F70" s="619"/>
      <c r="G70" s="619"/>
      <c r="H70" s="619"/>
      <c r="I70" s="619"/>
      <c r="S70" s="619"/>
      <c r="T70" s="619"/>
      <c r="U70" s="619"/>
      <c r="V70" s="619"/>
      <c r="W70" s="619"/>
      <c r="X70" s="619"/>
      <c r="AA70" s="619"/>
      <c r="AB70" s="619"/>
      <c r="AC70" s="619"/>
      <c r="AD70" s="619"/>
      <c r="AE70" s="619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591"/>
      <c r="DG70" s="591"/>
      <c r="DH70" s="3"/>
      <c r="DI70" s="3"/>
      <c r="DJ70" s="3"/>
      <c r="DK70" s="3"/>
      <c r="DL70" s="3"/>
      <c r="DM70" s="3"/>
      <c r="DN70" s="591"/>
      <c r="DO70" s="3"/>
      <c r="DP70" s="3"/>
      <c r="DQ70" s="3"/>
      <c r="DR70" s="3"/>
      <c r="DS70" s="3"/>
      <c r="DT70" s="591"/>
      <c r="DU70" s="591"/>
      <c r="DV70" s="3"/>
      <c r="DW70" s="3"/>
      <c r="DX70" s="3"/>
      <c r="DY70" s="594"/>
      <c r="DZ70" s="3"/>
      <c r="EA70" s="591" t="str">
        <f>(EA32-EB32)/EB32</f>
      </c>
      <c r="EB70" s="591" t="str">
        <f>(EB32-EC32)/EC32</f>
      </c>
      <c r="EC70" s="591" t="str">
        <f>(EC32-ED32)/ED32</f>
      </c>
      <c r="ED70" s="3"/>
      <c r="EE70" s="594"/>
      <c r="EF70" s="3"/>
      <c r="EG70" s="3"/>
      <c r="EH70" s="3"/>
      <c r="EI70" s="591"/>
      <c r="EJ70" s="3"/>
      <c r="EK70" s="3"/>
      <c r="EL70" s="3"/>
      <c r="EM70" s="3"/>
      <c r="EN70" s="592"/>
      <c r="EO70" s="592"/>
      <c r="EP70" s="592"/>
      <c r="EQ70" s="3"/>
      <c r="ER70" s="3"/>
      <c r="ES70" s="3"/>
      <c r="ET70" s="3"/>
      <c r="EU70" s="3"/>
      <c r="EV70" s="3"/>
      <c r="EW70" s="4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</row>
    <row r="71" ht="15.75">
      <c r="A71" s="3" t="s">
        <v>260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2"/>
      <c r="T71" s="2"/>
      <c r="U71" s="2"/>
      <c r="V71" s="2"/>
      <c r="W71" s="2"/>
      <c r="X71" s="2"/>
      <c r="Y71" s="3"/>
      <c r="Z71" s="3"/>
      <c r="AA71" s="2"/>
      <c r="AB71" s="2"/>
      <c r="AC71" s="2"/>
      <c r="AD71" s="2"/>
      <c r="AE71" s="2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591"/>
      <c r="DG71" s="3"/>
      <c r="DH71" s="3"/>
      <c r="DI71" s="3"/>
      <c r="DJ71" s="3"/>
      <c r="DK71" s="3"/>
      <c r="DL71" s="3"/>
      <c r="DM71" s="3"/>
      <c r="DN71" s="591"/>
      <c r="DO71" s="3"/>
      <c r="DP71" s="3"/>
      <c r="DQ71" s="3"/>
      <c r="DR71" s="3"/>
      <c r="DS71" s="3"/>
      <c r="DT71" s="591"/>
      <c r="DU71" s="591"/>
      <c r="DV71" s="3"/>
      <c r="DW71" s="3"/>
      <c r="DX71" s="3"/>
      <c r="DY71" s="594"/>
      <c r="DZ71" s="3"/>
      <c r="EA71" s="591" t="str">
        <f>(EA33-EB33)/EB33</f>
      </c>
      <c r="EB71" s="591" t="str">
        <f>(EB33-EC33)/EC33</f>
      </c>
      <c r="EC71" s="591" t="str">
        <f>(EC33-ED33)/ED33</f>
      </c>
      <c r="ED71" s="3"/>
      <c r="EE71" s="594"/>
      <c r="EF71" s="3"/>
      <c r="EG71" s="3"/>
      <c r="EH71" s="3"/>
      <c r="EI71" s="591"/>
      <c r="EJ71" s="3"/>
      <c r="EK71" s="3"/>
      <c r="EL71" s="3"/>
      <c r="EM71" s="3"/>
      <c r="EN71" s="592"/>
      <c r="EO71" s="592"/>
      <c r="EP71" s="592"/>
      <c r="EQ71" s="3"/>
      <c r="ER71" s="3"/>
      <c r="ES71" s="3"/>
      <c r="ET71" s="3"/>
      <c r="EU71" s="3"/>
      <c r="EV71" s="3"/>
      <c r="EW71" s="4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</row>
    <row r="72" ht="15.75">
      <c r="A72" s="3" t="s">
        <v>261</v>
      </c>
      <c r="B72" s="2"/>
      <c r="C72" s="2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2"/>
      <c r="T72" s="2"/>
      <c r="U72" s="2"/>
      <c r="V72" s="2"/>
      <c r="W72" s="2"/>
      <c r="X72" s="2"/>
      <c r="Y72" s="3"/>
      <c r="Z72" s="3"/>
      <c r="AA72" s="2"/>
      <c r="AB72" s="2"/>
      <c r="AC72" s="2"/>
      <c r="AD72" s="2"/>
      <c r="AE72" s="2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591"/>
      <c r="DG72" s="3"/>
      <c r="DH72" s="3"/>
      <c r="DI72" s="3"/>
      <c r="DJ72" s="3"/>
      <c r="DK72" s="3"/>
      <c r="DL72" s="3"/>
      <c r="DM72" s="3"/>
      <c r="DN72" s="591"/>
      <c r="DO72" s="3"/>
      <c r="DP72" s="3"/>
      <c r="DQ72" s="3"/>
      <c r="DR72" s="3"/>
      <c r="DS72" s="3"/>
      <c r="DT72" s="591"/>
      <c r="DU72" s="591"/>
      <c r="DV72" s="3"/>
      <c r="DW72" s="3"/>
      <c r="DX72" s="3"/>
      <c r="DY72" s="594"/>
      <c r="DZ72" s="3"/>
      <c r="EA72" s="3"/>
      <c r="EB72" s="3"/>
      <c r="EC72" s="3"/>
      <c r="ED72" s="3"/>
      <c r="EE72" s="594"/>
      <c r="EF72" s="3"/>
      <c r="EG72" s="3"/>
      <c r="EH72" s="3"/>
      <c r="EI72" s="3"/>
      <c r="EJ72" s="3"/>
      <c r="EK72" s="3"/>
      <c r="EL72" s="3"/>
      <c r="EM72" s="3"/>
      <c r="EN72" s="592"/>
      <c r="EO72" s="592"/>
      <c r="EP72" s="592"/>
      <c r="EQ72" s="3"/>
      <c r="ER72" s="3"/>
      <c r="ES72" s="3"/>
      <c r="ET72" s="3"/>
      <c r="EU72" s="3"/>
      <c r="EV72" s="3"/>
      <c r="EW72" s="4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</row>
    <row r="73" ht="15.75">
      <c r="A73" s="3" t="s">
        <v>262</v>
      </c>
      <c r="B73" s="2"/>
      <c r="C73" s="2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2"/>
      <c r="T73" s="2"/>
      <c r="U73" s="2"/>
      <c r="V73" s="2"/>
      <c r="W73" s="2"/>
      <c r="X73" s="2"/>
      <c r="Y73" s="3"/>
      <c r="Z73" s="3"/>
      <c r="AA73" s="2"/>
      <c r="AB73" s="2"/>
      <c r="AC73" s="2"/>
      <c r="AD73" s="2"/>
      <c r="AE73" s="2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591"/>
      <c r="DG73" s="3"/>
      <c r="DH73" s="3"/>
      <c r="DI73" s="3"/>
      <c r="DJ73" s="3"/>
      <c r="DK73" s="3"/>
      <c r="DL73" s="3"/>
      <c r="DM73" s="3"/>
      <c r="DN73" s="591"/>
      <c r="DO73" s="3"/>
      <c r="DP73" s="3"/>
      <c r="DQ73" s="3"/>
      <c r="DR73" s="3"/>
      <c r="DS73" s="3"/>
      <c r="DT73" s="591"/>
      <c r="DU73" s="591"/>
      <c r="DV73" s="3"/>
      <c r="DW73" s="3"/>
      <c r="DX73" s="3"/>
      <c r="DY73" s="594"/>
      <c r="DZ73" s="3"/>
      <c r="EA73" s="3"/>
      <c r="EB73" s="3"/>
      <c r="EC73" s="3"/>
      <c r="ED73" s="3"/>
      <c r="EE73" s="594"/>
      <c r="EF73" s="3"/>
      <c r="EG73" s="3"/>
      <c r="EH73" s="3"/>
      <c r="EI73" s="3"/>
      <c r="EJ73" s="3"/>
      <c r="EK73" s="3"/>
      <c r="EL73" s="3"/>
      <c r="EM73" s="3"/>
      <c r="EN73" s="592"/>
      <c r="EO73" s="592"/>
      <c r="EP73" s="592"/>
      <c r="EQ73" s="3"/>
      <c r="ER73" s="3"/>
      <c r="ES73" s="3"/>
      <c r="ET73" s="3"/>
      <c r="EU73" s="3"/>
      <c r="EV73" s="3"/>
      <c r="EW73" s="4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</row>
    <row r="74" ht="15.75">
      <c r="A74" s="3"/>
      <c r="B74" s="2"/>
      <c r="C74" s="2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2"/>
      <c r="T74" s="2"/>
      <c r="U74" s="2"/>
      <c r="V74" s="2"/>
      <c r="W74" s="2"/>
      <c r="X74" s="2"/>
      <c r="Y74" s="3"/>
      <c r="Z74" s="3"/>
      <c r="AA74" s="2"/>
      <c r="AB74" s="2"/>
      <c r="AC74" s="2"/>
      <c r="AD74" s="2"/>
      <c r="AE74" s="2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591"/>
      <c r="DG74" s="3"/>
      <c r="DH74" s="3"/>
      <c r="DI74" s="3"/>
      <c r="DJ74" s="3"/>
      <c r="DK74" s="3"/>
      <c r="DL74" s="3"/>
      <c r="DM74" s="3"/>
      <c r="DN74" s="591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594"/>
      <c r="DZ74" s="3"/>
      <c r="EA74" s="3"/>
      <c r="EB74" s="3"/>
      <c r="EC74" s="3"/>
      <c r="ED74" s="3"/>
      <c r="EE74" s="594"/>
      <c r="EF74" s="3"/>
      <c r="EG74" s="3"/>
      <c r="EH74" s="3"/>
      <c r="EI74" s="3"/>
      <c r="EJ74" s="3"/>
      <c r="EK74" s="3"/>
      <c r="EL74" s="3"/>
      <c r="EM74" s="3"/>
      <c r="EN74" s="592"/>
      <c r="EO74" s="592"/>
      <c r="EP74" s="592"/>
      <c r="EQ74" s="3"/>
      <c r="ER74" s="3"/>
      <c r="ES74" s="3"/>
      <c r="ET74" s="3"/>
      <c r="EU74" s="3"/>
      <c r="EV74" s="3"/>
      <c r="EW74" s="4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</row>
    <row r="75" ht="15.75">
      <c r="A75" s="3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2"/>
      <c r="T75" s="2"/>
      <c r="U75" s="2"/>
      <c r="V75" s="2"/>
      <c r="W75" s="2"/>
      <c r="X75" s="2"/>
      <c r="Y75" s="3"/>
      <c r="Z75" s="3"/>
      <c r="AA75" s="2"/>
      <c r="AB75" s="2"/>
      <c r="AC75" s="2"/>
      <c r="AD75" s="2"/>
      <c r="AE75" s="2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591"/>
      <c r="DG75" s="3"/>
      <c r="DH75" s="3" t="n">
        <v>9399594</v>
      </c>
      <c r="DI75" s="3" t="n">
        <v>7800200</v>
      </c>
      <c r="DJ75" s="3" t="n">
        <v>8414311</v>
      </c>
      <c r="DK75" s="3" t="str">
        <f>(DJ75-DI75)/DI75*100</f>
      </c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594"/>
      <c r="DZ75" s="3"/>
      <c r="EA75" s="3"/>
      <c r="EB75" s="3"/>
      <c r="EC75" s="3"/>
      <c r="ED75" s="3"/>
      <c r="EE75" s="594"/>
      <c r="EF75" s="3"/>
      <c r="EG75" s="3"/>
      <c r="EH75" s="3"/>
      <c r="EI75" s="3"/>
      <c r="EJ75" s="3"/>
      <c r="EK75" s="3"/>
      <c r="EL75" s="3"/>
      <c r="EM75" s="3"/>
      <c r="EN75" s="592"/>
      <c r="EO75" s="592"/>
      <c r="EP75" s="592"/>
      <c r="EQ75" s="3"/>
      <c r="ER75" s="3"/>
      <c r="ES75" s="3"/>
      <c r="ET75" s="3"/>
      <c r="EU75" s="3"/>
      <c r="EV75" s="3"/>
      <c r="EW75" s="4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</row>
    <row r="76" ht="15.75">
      <c r="A76" s="3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2"/>
      <c r="T76" s="2"/>
      <c r="U76" s="2"/>
      <c r="V76" s="2"/>
      <c r="W76" s="2"/>
      <c r="X76" s="2"/>
      <c r="Y76" s="3"/>
      <c r="Z76" s="3"/>
      <c r="AA76" s="2"/>
      <c r="AB76" s="2"/>
      <c r="AC76" s="2"/>
      <c r="AD76" s="2"/>
      <c r="AE76" s="2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591"/>
      <c r="DG76" s="3"/>
      <c r="DH76" s="3"/>
      <c r="DI76" s="3"/>
      <c r="DJ76" s="3"/>
      <c r="DK76" s="3" t="str">
        <f>(DJ75-DH75)/DH75*100</f>
      </c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594"/>
      <c r="DZ76" s="3"/>
      <c r="EA76" s="3"/>
      <c r="EB76" s="3"/>
      <c r="EC76" s="3"/>
      <c r="ED76" s="3"/>
      <c r="EE76" s="594"/>
      <c r="EF76" s="3"/>
      <c r="EG76" s="3"/>
      <c r="EH76" s="3"/>
      <c r="EI76" s="3"/>
      <c r="EJ76" s="3"/>
      <c r="EK76" s="3"/>
      <c r="EL76" s="3"/>
      <c r="EM76" s="3"/>
      <c r="EN76" s="592"/>
      <c r="EO76" s="592"/>
      <c r="EP76" s="592"/>
      <c r="EQ76" s="3"/>
      <c r="ER76" s="3"/>
      <c r="ES76" s="3"/>
      <c r="ET76" s="3"/>
      <c r="EU76" s="3"/>
      <c r="EV76" s="3"/>
      <c r="EW76" s="4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</row>
    <row r="77" ht="15.75">
      <c r="A77" s="3"/>
      <c r="B77" s="2"/>
      <c r="C77" s="2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2"/>
      <c r="T77" s="2"/>
      <c r="U77" s="2"/>
      <c r="V77" s="2"/>
      <c r="W77" s="2"/>
      <c r="X77" s="2"/>
      <c r="Y77" s="3"/>
      <c r="Z77" s="3"/>
      <c r="AA77" s="2"/>
      <c r="AB77" s="2"/>
      <c r="AC77" s="2"/>
      <c r="AD77" s="2"/>
      <c r="AE77" s="2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591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594"/>
      <c r="EF77" s="3"/>
      <c r="EG77" s="3"/>
      <c r="EH77" s="3"/>
      <c r="EI77" s="3"/>
      <c r="EJ77" s="3"/>
      <c r="EK77" s="3"/>
      <c r="EL77" s="3"/>
      <c r="EM77" s="3"/>
      <c r="EN77" s="592"/>
      <c r="EO77" s="592"/>
      <c r="EP77" s="592"/>
      <c r="EQ77" s="3"/>
      <c r="ER77" s="3"/>
      <c r="ES77" s="3"/>
      <c r="ET77" s="3"/>
      <c r="EU77" s="3"/>
      <c r="EV77" s="3"/>
      <c r="EW77" s="4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</row>
    <row r="78" ht="15.75">
      <c r="A78" s="3"/>
      <c r="B78" s="2"/>
      <c r="C78" s="2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2"/>
      <c r="T78" s="2"/>
      <c r="U78" s="2"/>
      <c r="V78" s="2"/>
      <c r="W78" s="2"/>
      <c r="X78" s="2"/>
      <c r="Y78" s="3"/>
      <c r="Z78" s="3"/>
      <c r="AA78" s="2"/>
      <c r="AB78" s="2"/>
      <c r="AC78" s="2"/>
      <c r="AD78" s="2"/>
      <c r="AE78" s="2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591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594"/>
      <c r="EF78" s="3"/>
      <c r="EG78" s="3"/>
      <c r="EH78" s="3"/>
      <c r="EI78" s="3"/>
      <c r="EJ78" s="3"/>
      <c r="EK78" s="3"/>
      <c r="EL78" s="3"/>
      <c r="EM78" s="3"/>
      <c r="EN78" s="592"/>
      <c r="EO78" s="592"/>
      <c r="EP78" s="592"/>
      <c r="EQ78" s="3"/>
      <c r="ER78" s="3"/>
      <c r="ES78" s="3"/>
      <c r="ET78" s="3"/>
      <c r="EU78" s="3"/>
      <c r="EV78" s="3"/>
      <c r="EW78" s="4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</row>
    <row r="79" ht="15.75">
      <c r="A79" s="3"/>
      <c r="B79" s="2"/>
      <c r="C79" s="2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2"/>
      <c r="T79" s="2"/>
      <c r="U79" s="2"/>
      <c r="V79" s="2"/>
      <c r="W79" s="2"/>
      <c r="X79" s="2"/>
      <c r="Y79" s="3"/>
      <c r="Z79" s="3"/>
      <c r="AA79" s="2"/>
      <c r="AB79" s="2"/>
      <c r="AC79" s="2"/>
      <c r="AD79" s="2"/>
      <c r="AE79" s="2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591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594"/>
      <c r="EF79" s="3"/>
      <c r="EG79" s="3"/>
      <c r="EH79" s="3"/>
      <c r="EI79" s="3"/>
      <c r="EJ79" s="3"/>
      <c r="EK79" s="3"/>
      <c r="EL79" s="3"/>
      <c r="EM79" s="3"/>
      <c r="EN79" s="592"/>
      <c r="EO79" s="592"/>
      <c r="EP79" s="592"/>
      <c r="EQ79" s="3"/>
      <c r="ER79" s="3"/>
      <c r="ES79" s="3"/>
      <c r="ET79" s="3"/>
      <c r="EU79" s="3"/>
      <c r="EV79" s="3"/>
      <c r="EW79" s="4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</row>
    <row r="80" ht="15.75">
      <c r="A80" s="3"/>
      <c r="B80" s="2"/>
      <c r="C80" s="2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2"/>
      <c r="T80" s="2"/>
      <c r="U80" s="2"/>
      <c r="V80" s="2"/>
      <c r="W80" s="2"/>
      <c r="X80" s="2"/>
      <c r="Y80" s="3"/>
      <c r="Z80" s="3"/>
      <c r="AA80" s="2"/>
      <c r="AB80" s="2"/>
      <c r="AC80" s="2"/>
      <c r="AD80" s="2"/>
      <c r="AE80" s="2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591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594"/>
      <c r="EF80" s="3"/>
      <c r="EG80" s="3"/>
      <c r="EH80" s="3"/>
      <c r="EI80" s="3"/>
      <c r="EJ80" s="3"/>
      <c r="EK80" s="3"/>
      <c r="EL80" s="3"/>
      <c r="EM80" s="3"/>
      <c r="EN80" s="592"/>
      <c r="EO80" s="592"/>
      <c r="EP80" s="592"/>
      <c r="EQ80" s="3"/>
      <c r="ER80" s="3"/>
      <c r="ES80" s="3"/>
      <c r="ET80" s="3"/>
      <c r="EU80" s="3"/>
      <c r="EV80" s="3"/>
      <c r="EW80" s="4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</row>
    <row r="81" ht="15.75">
      <c r="A81" s="3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2"/>
      <c r="T81" s="2"/>
      <c r="U81" s="2"/>
      <c r="V81" s="2"/>
      <c r="W81" s="2"/>
      <c r="X81" s="2"/>
      <c r="Y81" s="3"/>
      <c r="Z81" s="3"/>
      <c r="AA81" s="2"/>
      <c r="AB81" s="2"/>
      <c r="AC81" s="2"/>
      <c r="AD81" s="2"/>
      <c r="AE81" s="2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591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591"/>
      <c r="DY81" s="591"/>
      <c r="DZ81" s="3"/>
      <c r="EA81" s="3"/>
      <c r="EB81" s="3"/>
      <c r="EC81" s="3"/>
      <c r="ED81" s="3"/>
      <c r="EE81" s="594"/>
      <c r="EF81" s="3"/>
      <c r="EG81" s="3"/>
      <c r="EH81" s="3"/>
      <c r="EI81" s="3"/>
      <c r="EJ81" s="3"/>
      <c r="EK81" s="3"/>
      <c r="EL81" s="3"/>
      <c r="EM81" s="3"/>
      <c r="EN81" s="592"/>
      <c r="EO81" s="592"/>
      <c r="EP81" s="592"/>
      <c r="EQ81" s="3"/>
      <c r="ER81" s="3"/>
      <c r="ES81" s="3"/>
      <c r="ET81" s="3"/>
      <c r="EU81" s="3"/>
      <c r="EV81" s="3"/>
      <c r="EW81" s="4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</row>
    <row r="82" ht="15.75">
      <c r="A82" s="3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2"/>
      <c r="T82" s="2"/>
      <c r="U82" s="2"/>
      <c r="V82" s="2"/>
      <c r="W82" s="2"/>
      <c r="X82" s="2"/>
      <c r="Y82" s="3"/>
      <c r="Z82" s="3"/>
      <c r="AA82" s="2"/>
      <c r="AB82" s="2"/>
      <c r="AC82" s="2"/>
      <c r="AD82" s="2"/>
      <c r="AE82" s="2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591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591"/>
      <c r="DY82" s="591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592"/>
      <c r="EO82" s="592"/>
      <c r="EP82" s="592"/>
      <c r="EQ82" s="3"/>
      <c r="ER82" s="3"/>
      <c r="ES82" s="3"/>
      <c r="ET82" s="3"/>
      <c r="EU82" s="3"/>
      <c r="EV82" s="3"/>
      <c r="EW82" s="4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</row>
    <row r="83" ht="15.75">
      <c r="A83" s="3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2"/>
      <c r="T83" s="2"/>
      <c r="U83" s="2"/>
      <c r="V83" s="2"/>
      <c r="W83" s="2"/>
      <c r="X83" s="2"/>
      <c r="Y83" s="3"/>
      <c r="Z83" s="3"/>
      <c r="AA83" s="2"/>
      <c r="AB83" s="2"/>
      <c r="AC83" s="2"/>
      <c r="AD83" s="2"/>
      <c r="AE83" s="2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591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591"/>
      <c r="DY83" s="591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592"/>
      <c r="EO83" s="592"/>
      <c r="EP83" s="592"/>
      <c r="EQ83" s="3"/>
      <c r="ER83" s="3"/>
      <c r="ES83" s="3"/>
      <c r="ET83" s="3"/>
      <c r="EU83" s="3"/>
      <c r="EV83" s="3"/>
      <c r="EW83" s="4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</row>
    <row r="84" ht="15.75">
      <c r="A84" s="3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2"/>
      <c r="T84" s="2"/>
      <c r="U84" s="2"/>
      <c r="V84" s="2"/>
      <c r="W84" s="2"/>
      <c r="X84" s="2"/>
      <c r="Y84" s="3"/>
      <c r="Z84" s="3"/>
      <c r="AA84" s="2"/>
      <c r="AB84" s="2"/>
      <c r="AC84" s="2"/>
      <c r="AD84" s="2"/>
      <c r="AE84" s="2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591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591"/>
      <c r="DY84" s="591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4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</row>
    <row r="85" ht="15.75">
      <c r="A85" s="3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2"/>
      <c r="T85" s="2"/>
      <c r="U85" s="2"/>
      <c r="V85" s="2"/>
      <c r="W85" s="2"/>
      <c r="X85" s="2"/>
      <c r="Y85" s="3"/>
      <c r="Z85" s="3"/>
      <c r="AA85" s="2"/>
      <c r="AB85" s="2"/>
      <c r="AC85" s="2"/>
      <c r="AD85" s="2"/>
      <c r="AE85" s="2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591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591"/>
      <c r="DY85" s="591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4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</row>
    <row r="86" ht="15.75">
      <c r="A86" s="3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2"/>
      <c r="T86" s="2"/>
      <c r="U86" s="2"/>
      <c r="V86" s="2"/>
      <c r="W86" s="2"/>
      <c r="X86" s="2"/>
      <c r="Y86" s="3"/>
      <c r="Z86" s="3"/>
      <c r="AA86" s="2"/>
      <c r="AB86" s="2"/>
      <c r="AC86" s="2"/>
      <c r="AD86" s="2"/>
      <c r="AE86" s="2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591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591"/>
      <c r="DY86" s="591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4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</row>
    <row r="87" ht="15.75">
      <c r="A87" s="3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2"/>
      <c r="T87" s="2"/>
      <c r="U87" s="2"/>
      <c r="V87" s="2"/>
      <c r="W87" s="2"/>
      <c r="X87" s="2"/>
      <c r="Y87" s="3"/>
      <c r="Z87" s="3"/>
      <c r="AA87" s="2"/>
      <c r="AB87" s="2"/>
      <c r="AC87" s="2"/>
      <c r="AD87" s="2"/>
      <c r="AE87" s="2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591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591"/>
      <c r="DY87" s="591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4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</row>
    <row r="88" ht="15.75">
      <c r="A88" s="3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2"/>
      <c r="T88" s="2"/>
      <c r="U88" s="2"/>
      <c r="V88" s="2"/>
      <c r="W88" s="2"/>
      <c r="X88" s="2"/>
      <c r="Y88" s="3"/>
      <c r="Z88" s="3"/>
      <c r="AA88" s="2"/>
      <c r="AB88" s="2"/>
      <c r="AC88" s="2"/>
      <c r="AD88" s="2"/>
      <c r="AE88" s="2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591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591"/>
      <c r="DY88" s="591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4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</row>
    <row r="89" ht="15.75">
      <c r="A89" s="3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2"/>
      <c r="T89" s="2"/>
      <c r="U89" s="2"/>
      <c r="V89" s="2"/>
      <c r="W89" s="2"/>
      <c r="X89" s="2"/>
      <c r="Y89" s="3"/>
      <c r="Z89" s="3"/>
      <c r="AA89" s="2"/>
      <c r="AB89" s="2"/>
      <c r="AC89" s="2"/>
      <c r="AD89" s="2"/>
      <c r="AE89" s="2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591"/>
      <c r="DY89" s="591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4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</row>
    <row r="90" ht="15.75">
      <c r="A90" s="3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2"/>
      <c r="T90" s="2"/>
      <c r="U90" s="2"/>
      <c r="V90" s="2"/>
      <c r="W90" s="2"/>
      <c r="X90" s="2"/>
      <c r="Y90" s="3"/>
      <c r="Z90" s="3"/>
      <c r="AA90" s="2"/>
      <c r="AB90" s="2"/>
      <c r="AC90" s="2"/>
      <c r="AD90" s="2"/>
      <c r="AE90" s="2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591"/>
      <c r="DY90" s="591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4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</row>
    <row r="91" ht="15.75">
      <c r="A91" s="3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2"/>
      <c r="T91" s="2"/>
      <c r="U91" s="2"/>
      <c r="V91" s="2"/>
      <c r="W91" s="2"/>
      <c r="X91" s="2"/>
      <c r="Y91" s="3"/>
      <c r="Z91" s="3"/>
      <c r="AA91" s="2"/>
      <c r="AB91" s="2"/>
      <c r="AC91" s="2"/>
      <c r="AD91" s="2"/>
      <c r="AE91" s="2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591"/>
      <c r="DY91" s="591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4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</row>
    <row r="92" ht="15.75">
      <c r="A92" s="3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2"/>
      <c r="T92" s="2"/>
      <c r="U92" s="2"/>
      <c r="V92" s="2"/>
      <c r="W92" s="2"/>
      <c r="X92" s="2"/>
      <c r="Y92" s="3"/>
      <c r="Z92" s="3"/>
      <c r="AA92" s="2"/>
      <c r="AB92" s="2"/>
      <c r="AC92" s="2"/>
      <c r="AD92" s="2"/>
      <c r="AE92" s="2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591"/>
      <c r="DY92" s="591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4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</row>
    <row r="93" ht="15.75">
      <c r="A93" s="3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2"/>
      <c r="T93" s="2"/>
      <c r="U93" s="2"/>
      <c r="V93" s="2"/>
      <c r="W93" s="2"/>
      <c r="X93" s="2"/>
      <c r="Y93" s="3"/>
      <c r="Z93" s="3"/>
      <c r="AA93" s="2"/>
      <c r="AB93" s="2"/>
      <c r="AC93" s="2"/>
      <c r="AD93" s="2"/>
      <c r="AE93" s="2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591"/>
      <c r="DY93" s="591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4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</row>
    <row r="94" ht="15.75">
      <c r="A94" s="3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2"/>
      <c r="T94" s="2"/>
      <c r="U94" s="2"/>
      <c r="V94" s="2"/>
      <c r="W94" s="2"/>
      <c r="X94" s="2"/>
      <c r="Y94" s="3"/>
      <c r="Z94" s="3"/>
      <c r="AA94" s="2"/>
      <c r="AB94" s="2"/>
      <c r="AC94" s="2"/>
      <c r="AD94" s="2"/>
      <c r="AE94" s="2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591"/>
      <c r="DY94" s="591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4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</row>
    <row r="95" ht="15.75">
      <c r="A95" s="3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2"/>
      <c r="T95" s="2"/>
      <c r="U95" s="2"/>
      <c r="V95" s="2"/>
      <c r="W95" s="2"/>
      <c r="X95" s="2"/>
      <c r="Y95" s="3"/>
      <c r="Z95" s="3"/>
      <c r="AA95" s="2"/>
      <c r="AB95" s="2"/>
      <c r="AC95" s="2"/>
      <c r="AD95" s="2"/>
      <c r="AE95" s="2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591"/>
      <c r="DY95" s="591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4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</row>
    <row r="96" ht="15.75">
      <c r="A96" s="3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2"/>
      <c r="T96" s="2"/>
      <c r="U96" s="2"/>
      <c r="V96" s="2"/>
      <c r="W96" s="2"/>
      <c r="X96" s="2"/>
      <c r="Y96" s="3"/>
      <c r="Z96" s="3"/>
      <c r="AA96" s="2"/>
      <c r="AB96" s="2"/>
      <c r="AC96" s="2"/>
      <c r="AD96" s="2"/>
      <c r="AE96" s="2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591"/>
      <c r="DY96" s="591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4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</row>
    <row r="97" ht="15.75">
      <c r="A97" s="3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2"/>
      <c r="T97" s="2"/>
      <c r="U97" s="2"/>
      <c r="V97" s="2"/>
      <c r="W97" s="2"/>
      <c r="X97" s="2"/>
      <c r="Y97" s="3"/>
      <c r="Z97" s="3"/>
      <c r="AA97" s="2"/>
      <c r="AB97" s="2"/>
      <c r="AC97" s="2"/>
      <c r="AD97" s="2"/>
      <c r="AE97" s="2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591"/>
      <c r="DY97" s="591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4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</row>
    <row r="98" ht="15.75">
      <c r="A98" s="3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2"/>
      <c r="T98" s="2"/>
      <c r="U98" s="2"/>
      <c r="V98" s="2"/>
      <c r="W98" s="2"/>
      <c r="X98" s="2"/>
      <c r="Y98" s="3"/>
      <c r="Z98" s="3"/>
      <c r="AA98" s="2"/>
      <c r="AB98" s="2"/>
      <c r="AC98" s="2"/>
      <c r="AD98" s="2"/>
      <c r="AE98" s="2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591"/>
      <c r="DY98" s="591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4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</row>
    <row r="99" ht="15.75">
      <c r="A99" s="3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2"/>
      <c r="T99" s="2"/>
      <c r="U99" s="2"/>
      <c r="V99" s="2"/>
      <c r="W99" s="2"/>
      <c r="X99" s="2"/>
      <c r="Y99" s="3"/>
      <c r="Z99" s="3"/>
      <c r="AA99" s="2"/>
      <c r="AB99" s="2"/>
      <c r="AC99" s="2"/>
      <c r="AD99" s="2"/>
      <c r="AE99" s="2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591"/>
      <c r="DY99" s="591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4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</row>
    <row r="100" ht="15.75">
      <c r="A100" s="3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2"/>
      <c r="T100" s="2"/>
      <c r="U100" s="2"/>
      <c r="V100" s="2"/>
      <c r="W100" s="2"/>
      <c r="X100" s="2"/>
      <c r="Y100" s="3"/>
      <c r="Z100" s="3"/>
      <c r="AA100" s="2"/>
      <c r="AB100" s="2"/>
      <c r="AC100" s="2"/>
      <c r="AD100" s="2"/>
      <c r="AE100" s="2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591"/>
      <c r="DY100" s="591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4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</row>
    <row r="101" ht="15.75">
      <c r="A101" s="3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2"/>
      <c r="T101" s="2"/>
      <c r="U101" s="2"/>
      <c r="V101" s="2"/>
      <c r="W101" s="2"/>
      <c r="X101" s="2"/>
      <c r="Y101" s="3"/>
      <c r="Z101" s="3"/>
      <c r="AA101" s="2"/>
      <c r="AB101" s="2"/>
      <c r="AC101" s="2"/>
      <c r="AD101" s="2"/>
      <c r="AE101" s="2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591"/>
      <c r="DY101" s="591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4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</row>
    <row r="102" ht="15.75">
      <c r="A102" s="3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2"/>
      <c r="T102" s="2"/>
      <c r="U102" s="2"/>
      <c r="V102" s="2"/>
      <c r="W102" s="2"/>
      <c r="X102" s="2"/>
      <c r="Y102" s="3"/>
      <c r="Z102" s="3"/>
      <c r="AA102" s="2"/>
      <c r="AB102" s="2"/>
      <c r="AC102" s="2"/>
      <c r="AD102" s="2"/>
      <c r="AE102" s="2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591"/>
      <c r="DY102" s="591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4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</row>
    <row r="103" ht="15.75">
      <c r="A103" s="3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2"/>
      <c r="T103" s="2"/>
      <c r="U103" s="2"/>
      <c r="V103" s="2"/>
      <c r="W103" s="2"/>
      <c r="X103" s="2"/>
      <c r="Y103" s="3"/>
      <c r="Z103" s="3"/>
      <c r="AA103" s="2"/>
      <c r="AB103" s="2"/>
      <c r="AC103" s="2"/>
      <c r="AD103" s="2"/>
      <c r="AE103" s="2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591"/>
      <c r="DY103" s="591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4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</row>
    <row r="104" ht="15.75">
      <c r="A104" s="3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2"/>
      <c r="T104" s="2"/>
      <c r="U104" s="2"/>
      <c r="V104" s="2"/>
      <c r="W104" s="2"/>
      <c r="X104" s="2"/>
      <c r="Y104" s="3"/>
      <c r="Z104" s="3"/>
      <c r="AA104" s="2"/>
      <c r="AB104" s="2"/>
      <c r="AC104" s="2"/>
      <c r="AD104" s="2"/>
      <c r="AE104" s="2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591"/>
      <c r="DY104" s="591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4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</row>
    <row r="105" ht="15.75">
      <c r="A105" s="3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2"/>
      <c r="T105" s="2"/>
      <c r="U105" s="2"/>
      <c r="V105" s="2"/>
      <c r="W105" s="2"/>
      <c r="X105" s="2"/>
      <c r="Y105" s="3"/>
      <c r="Z105" s="3"/>
      <c r="AA105" s="2"/>
      <c r="AB105" s="2"/>
      <c r="AC105" s="2"/>
      <c r="AD105" s="2"/>
      <c r="AE105" s="2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4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</row>
    <row r="106" ht="15.75">
      <c r="A106" s="3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2"/>
      <c r="T106" s="2"/>
      <c r="U106" s="2"/>
      <c r="V106" s="2"/>
      <c r="W106" s="2"/>
      <c r="X106" s="2"/>
      <c r="Y106" s="3"/>
      <c r="Z106" s="3"/>
      <c r="AA106" s="2"/>
      <c r="AB106" s="2"/>
      <c r="AC106" s="2"/>
      <c r="AD106" s="2"/>
      <c r="AE106" s="2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4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</row>
    <row r="107" ht="15.75">
      <c r="A107" s="3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2"/>
      <c r="T107" s="2"/>
      <c r="U107" s="2"/>
      <c r="V107" s="2"/>
      <c r="W107" s="2"/>
      <c r="X107" s="2"/>
      <c r="Y107" s="3"/>
      <c r="Z107" s="3"/>
      <c r="AA107" s="2"/>
      <c r="AB107" s="2"/>
      <c r="AC107" s="2"/>
      <c r="AD107" s="2"/>
      <c r="AE107" s="2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4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</row>
    <row r="108" ht="15.75">
      <c r="A108" s="3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2"/>
      <c r="T108" s="2"/>
      <c r="U108" s="2"/>
      <c r="V108" s="2"/>
      <c r="W108" s="2"/>
      <c r="X108" s="2"/>
      <c r="Y108" s="3"/>
      <c r="Z108" s="3"/>
      <c r="AA108" s="2"/>
      <c r="AB108" s="2"/>
      <c r="AC108" s="2"/>
      <c r="AD108" s="2"/>
      <c r="AE108" s="2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4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</row>
    <row r="109" ht="15.75">
      <c r="A109" s="3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2"/>
      <c r="T109" s="2"/>
      <c r="U109" s="2"/>
      <c r="V109" s="2"/>
      <c r="W109" s="2"/>
      <c r="X109" s="2"/>
      <c r="Y109" s="3"/>
      <c r="Z109" s="3"/>
      <c r="AA109" s="2"/>
      <c r="AB109" s="2"/>
      <c r="AC109" s="2"/>
      <c r="AD109" s="2"/>
      <c r="AE109" s="2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4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</row>
    <row r="110" ht="15.75">
      <c r="A110" s="3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2"/>
      <c r="T110" s="2"/>
      <c r="U110" s="2"/>
      <c r="V110" s="2"/>
      <c r="W110" s="2"/>
      <c r="X110" s="2"/>
      <c r="Y110" s="3"/>
      <c r="Z110" s="3"/>
      <c r="AA110" s="2"/>
      <c r="AB110" s="2"/>
      <c r="AC110" s="2"/>
      <c r="AD110" s="2"/>
      <c r="AE110" s="2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4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</row>
    <row r="111" ht="15.75">
      <c r="A111" s="3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2"/>
      <c r="T111" s="2"/>
      <c r="U111" s="2"/>
      <c r="V111" s="2"/>
      <c r="W111" s="2"/>
      <c r="X111" s="2"/>
      <c r="Y111" s="3"/>
      <c r="Z111" s="3"/>
      <c r="AA111" s="2"/>
      <c r="AB111" s="2"/>
      <c r="AC111" s="2"/>
      <c r="AD111" s="2"/>
      <c r="AE111" s="2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4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</row>
    <row r="112" ht="15.75">
      <c r="A112" s="3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2"/>
      <c r="T112" s="2"/>
      <c r="U112" s="2"/>
      <c r="V112" s="2"/>
      <c r="W112" s="2"/>
      <c r="X112" s="2"/>
      <c r="Y112" s="3"/>
      <c r="Z112" s="3"/>
      <c r="AA112" s="2"/>
      <c r="AB112" s="2"/>
      <c r="AC112" s="2"/>
      <c r="AD112" s="2"/>
      <c r="AE112" s="2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4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</row>
    <row r="113" ht="15.75">
      <c r="A113" s="3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2"/>
      <c r="T113" s="2"/>
      <c r="U113" s="2"/>
      <c r="V113" s="2"/>
      <c r="W113" s="2"/>
      <c r="X113" s="2"/>
      <c r="Y113" s="3"/>
      <c r="Z113" s="3"/>
      <c r="AA113" s="2"/>
      <c r="AB113" s="2"/>
      <c r="AC113" s="2"/>
      <c r="AD113" s="2"/>
      <c r="AE113" s="2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4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</row>
    <row r="114" ht="15.75">
      <c r="A114" s="3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2"/>
      <c r="T114" s="2"/>
      <c r="U114" s="2"/>
      <c r="V114" s="2"/>
      <c r="W114" s="2"/>
      <c r="X114" s="2"/>
      <c r="Y114" s="3"/>
      <c r="Z114" s="3"/>
      <c r="AA114" s="2"/>
      <c r="AB114" s="2"/>
      <c r="AC114" s="2"/>
      <c r="AD114" s="2"/>
      <c r="AE114" s="2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4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</row>
    <row r="115" ht="15.75">
      <c r="A115" s="3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2"/>
      <c r="T115" s="2"/>
      <c r="U115" s="2"/>
      <c r="V115" s="2"/>
      <c r="W115" s="2"/>
      <c r="X115" s="2"/>
      <c r="Y115" s="3"/>
      <c r="Z115" s="3"/>
      <c r="AA115" s="2"/>
      <c r="AB115" s="2"/>
      <c r="AC115" s="2"/>
      <c r="AD115" s="2"/>
      <c r="AE115" s="2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4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</row>
    <row r="116" ht="15.75">
      <c r="A116" s="3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2"/>
      <c r="T116" s="2"/>
      <c r="U116" s="2"/>
      <c r="V116" s="2"/>
      <c r="W116" s="2"/>
      <c r="X116" s="2"/>
      <c r="Y116" s="3"/>
      <c r="Z116" s="3"/>
      <c r="AA116" s="2"/>
      <c r="AB116" s="2"/>
      <c r="AC116" s="2"/>
      <c r="AD116" s="2"/>
      <c r="AE116" s="2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4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</row>
    <row r="117" ht="15.75">
      <c r="A117" s="3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2"/>
      <c r="T117" s="2"/>
      <c r="U117" s="2"/>
      <c r="V117" s="2"/>
      <c r="W117" s="2"/>
      <c r="X117" s="2"/>
      <c r="Y117" s="3"/>
      <c r="Z117" s="3"/>
      <c r="AA117" s="2"/>
      <c r="AB117" s="2"/>
      <c r="AC117" s="2"/>
      <c r="AD117" s="2"/>
      <c r="AE117" s="2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4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</row>
    <row r="118" ht="15.75">
      <c r="A118" s="3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2"/>
      <c r="T118" s="2"/>
      <c r="U118" s="2"/>
      <c r="V118" s="2"/>
      <c r="W118" s="2"/>
      <c r="X118" s="2"/>
      <c r="Y118" s="3"/>
      <c r="Z118" s="3"/>
      <c r="AA118" s="2"/>
      <c r="AB118" s="2"/>
      <c r="AC118" s="2"/>
      <c r="AD118" s="2"/>
      <c r="AE118" s="2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4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</row>
    <row r="119" ht="15.75">
      <c r="A119" s="3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2"/>
      <c r="T119" s="2"/>
      <c r="U119" s="2"/>
      <c r="V119" s="2"/>
      <c r="W119" s="2"/>
      <c r="X119" s="2"/>
      <c r="Y119" s="3"/>
      <c r="Z119" s="3"/>
      <c r="AA119" s="2"/>
      <c r="AB119" s="2"/>
      <c r="AC119" s="2"/>
      <c r="AD119" s="2"/>
      <c r="AE119" s="2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4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</row>
    <row r="120" ht="15.75">
      <c r="A120" s="3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2"/>
      <c r="T120" s="2"/>
      <c r="U120" s="2"/>
      <c r="V120" s="2"/>
      <c r="W120" s="2"/>
      <c r="X120" s="2"/>
      <c r="Y120" s="3"/>
      <c r="Z120" s="3"/>
      <c r="AA120" s="2"/>
      <c r="AB120" s="2"/>
      <c r="AC120" s="2"/>
      <c r="AD120" s="2"/>
      <c r="AE120" s="2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4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</row>
    <row r="121" ht="15.75">
      <c r="A121" s="3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2"/>
      <c r="T121" s="2"/>
      <c r="U121" s="2"/>
      <c r="V121" s="2"/>
      <c r="W121" s="2"/>
      <c r="X121" s="2"/>
      <c r="Y121" s="3"/>
      <c r="Z121" s="3"/>
      <c r="AA121" s="2"/>
      <c r="AB121" s="2"/>
      <c r="AC121" s="2"/>
      <c r="AD121" s="2"/>
      <c r="AE121" s="2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4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</row>
    <row r="122" ht="15.75">
      <c r="A122" s="3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2"/>
      <c r="T122" s="2"/>
      <c r="U122" s="2"/>
      <c r="V122" s="2"/>
      <c r="W122" s="2"/>
      <c r="X122" s="2"/>
      <c r="Y122" s="3"/>
      <c r="Z122" s="3"/>
      <c r="AA122" s="2"/>
      <c r="AB122" s="2"/>
      <c r="AC122" s="2"/>
      <c r="AD122" s="2"/>
      <c r="AE122" s="2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4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</row>
    <row r="123" ht="15.75">
      <c r="A123" s="3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2"/>
      <c r="T123" s="2"/>
      <c r="U123" s="2"/>
      <c r="V123" s="2"/>
      <c r="W123" s="2"/>
      <c r="X123" s="2"/>
      <c r="Y123" s="3"/>
      <c r="Z123" s="3"/>
      <c r="AA123" s="2"/>
      <c r="AB123" s="2"/>
      <c r="AC123" s="2"/>
      <c r="AD123" s="2"/>
      <c r="AE123" s="2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4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</row>
    <row r="124" ht="15.75">
      <c r="A124" s="3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2"/>
      <c r="T124" s="2"/>
      <c r="U124" s="2"/>
      <c r="V124" s="2"/>
      <c r="W124" s="2"/>
      <c r="X124" s="2"/>
      <c r="Y124" s="3"/>
      <c r="Z124" s="3"/>
      <c r="AA124" s="2"/>
      <c r="AB124" s="2"/>
      <c r="AC124" s="2"/>
      <c r="AD124" s="2"/>
      <c r="AE124" s="2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4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</row>
    <row r="125" ht="15.75">
      <c r="A125" s="3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2"/>
      <c r="T125" s="2"/>
      <c r="U125" s="2"/>
      <c r="V125" s="2"/>
      <c r="W125" s="2"/>
      <c r="X125" s="2"/>
      <c r="Y125" s="3"/>
      <c r="Z125" s="3"/>
      <c r="AA125" s="2"/>
      <c r="AB125" s="2"/>
      <c r="AC125" s="2"/>
      <c r="AD125" s="2"/>
      <c r="AE125" s="2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4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</row>
    <row r="126" ht="15.75">
      <c r="A126" s="3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2"/>
      <c r="T126" s="2"/>
      <c r="U126" s="2"/>
      <c r="V126" s="2"/>
      <c r="W126" s="2"/>
      <c r="X126" s="2"/>
      <c r="Y126" s="3"/>
      <c r="Z126" s="3"/>
      <c r="AA126" s="2"/>
      <c r="AB126" s="2"/>
      <c r="AC126" s="2"/>
      <c r="AD126" s="2"/>
      <c r="AE126" s="2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4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</row>
    <row r="127" ht="15.75">
      <c r="A127" s="3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2"/>
      <c r="T127" s="2"/>
      <c r="U127" s="2"/>
      <c r="V127" s="2"/>
      <c r="W127" s="2"/>
      <c r="X127" s="2"/>
      <c r="Y127" s="3"/>
      <c r="Z127" s="3"/>
      <c r="AA127" s="2"/>
      <c r="AB127" s="2"/>
      <c r="AC127" s="2"/>
      <c r="AD127" s="2"/>
      <c r="AE127" s="2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4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</row>
    <row r="128" ht="15.75">
      <c r="A128" s="3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2"/>
      <c r="T128" s="2"/>
      <c r="U128" s="2"/>
      <c r="V128" s="2"/>
      <c r="W128" s="2"/>
      <c r="X128" s="2"/>
      <c r="Y128" s="3"/>
      <c r="Z128" s="3"/>
      <c r="AA128" s="2"/>
      <c r="AB128" s="2"/>
      <c r="AC128" s="2"/>
      <c r="AD128" s="2"/>
      <c r="AE128" s="2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4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</row>
    <row r="129" ht="15.75">
      <c r="A129" s="3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2"/>
      <c r="T129" s="2"/>
      <c r="U129" s="2"/>
      <c r="V129" s="2"/>
      <c r="W129" s="2"/>
      <c r="X129" s="2"/>
      <c r="Y129" s="3"/>
      <c r="Z129" s="3"/>
      <c r="AA129" s="2"/>
      <c r="AB129" s="2"/>
      <c r="AC129" s="2"/>
      <c r="AD129" s="2"/>
      <c r="AE129" s="2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4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</row>
    <row r="130" ht="15.75">
      <c r="A130" s="3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2"/>
      <c r="T130" s="2"/>
      <c r="U130" s="2"/>
      <c r="V130" s="2"/>
      <c r="W130" s="2"/>
      <c r="X130" s="2"/>
      <c r="Y130" s="3"/>
      <c r="Z130" s="3"/>
      <c r="AA130" s="2"/>
      <c r="AB130" s="2"/>
      <c r="AC130" s="2"/>
      <c r="AD130" s="2"/>
      <c r="AE130" s="2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4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</row>
    <row r="131" ht="15.75">
      <c r="A131" s="3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2"/>
      <c r="T131" s="2"/>
      <c r="U131" s="2"/>
      <c r="V131" s="2"/>
      <c r="W131" s="2"/>
      <c r="X131" s="2"/>
      <c r="Y131" s="3"/>
      <c r="Z131" s="3"/>
      <c r="AA131" s="2"/>
      <c r="AB131" s="2"/>
      <c r="AC131" s="2"/>
      <c r="AD131" s="2"/>
      <c r="AE131" s="2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4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</row>
    <row r="132" ht="15.75">
      <c r="A132" s="3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2"/>
      <c r="T132" s="2"/>
      <c r="U132" s="2"/>
      <c r="V132" s="2"/>
      <c r="W132" s="2"/>
      <c r="X132" s="2"/>
      <c r="Y132" s="3"/>
      <c r="Z132" s="3"/>
      <c r="AA132" s="2"/>
      <c r="AB132" s="2"/>
      <c r="AC132" s="2"/>
      <c r="AD132" s="2"/>
      <c r="AE132" s="2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4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</row>
    <row r="133" ht="15.75">
      <c r="A133" s="3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2"/>
      <c r="T133" s="2"/>
      <c r="U133" s="2"/>
      <c r="V133" s="2"/>
      <c r="W133" s="2"/>
      <c r="X133" s="2"/>
      <c r="Y133" s="3"/>
      <c r="Z133" s="3"/>
      <c r="AA133" s="2"/>
      <c r="AB133" s="2"/>
      <c r="AC133" s="2"/>
      <c r="AD133" s="2"/>
      <c r="AE133" s="2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4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</row>
    <row r="134" ht="15.75">
      <c r="A134" s="3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2"/>
      <c r="T134" s="2"/>
      <c r="U134" s="2"/>
      <c r="V134" s="2"/>
      <c r="W134" s="2"/>
      <c r="X134" s="2"/>
      <c r="Y134" s="3"/>
      <c r="Z134" s="3"/>
      <c r="AA134" s="2"/>
      <c r="AB134" s="2"/>
      <c r="AC134" s="2"/>
      <c r="AD134" s="2"/>
      <c r="AE134" s="2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4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</row>
    <row r="135" ht="15.75">
      <c r="A135" s="3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2"/>
      <c r="T135" s="2"/>
      <c r="U135" s="2"/>
      <c r="V135" s="2"/>
      <c r="W135" s="2"/>
      <c r="X135" s="2"/>
      <c r="Y135" s="3"/>
      <c r="Z135" s="3"/>
      <c r="AA135" s="2"/>
      <c r="AB135" s="2"/>
      <c r="AC135" s="2"/>
      <c r="AD135" s="2"/>
      <c r="AE135" s="2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4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</row>
    <row r="136" ht="15.75">
      <c r="A136" s="3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2"/>
      <c r="T136" s="2"/>
      <c r="U136" s="2"/>
      <c r="V136" s="2"/>
      <c r="W136" s="2"/>
      <c r="X136" s="2"/>
      <c r="Y136" s="3"/>
      <c r="Z136" s="3"/>
      <c r="AA136" s="2"/>
      <c r="AB136" s="2"/>
      <c r="AC136" s="2"/>
      <c r="AD136" s="2"/>
      <c r="AE136" s="2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4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</row>
    <row r="137" ht="15.75">
      <c r="A137" s="3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2"/>
      <c r="T137" s="2"/>
      <c r="U137" s="2"/>
      <c r="V137" s="2"/>
      <c r="W137" s="2"/>
      <c r="X137" s="2"/>
      <c r="Y137" s="3"/>
      <c r="Z137" s="3"/>
      <c r="AA137" s="2"/>
      <c r="AB137" s="2"/>
      <c r="AC137" s="2"/>
      <c r="AD137" s="2"/>
      <c r="AE137" s="2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4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</row>
    <row r="138" ht="15.75">
      <c r="A138" s="3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2"/>
      <c r="T138" s="2"/>
      <c r="U138" s="2"/>
      <c r="V138" s="2"/>
      <c r="W138" s="2"/>
      <c r="X138" s="2"/>
      <c r="Y138" s="3"/>
      <c r="Z138" s="3"/>
      <c r="AA138" s="2"/>
      <c r="AB138" s="2"/>
      <c r="AC138" s="2"/>
      <c r="AD138" s="2"/>
      <c r="AE138" s="2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4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</row>
    <row r="139" ht="15.75">
      <c r="A139" s="3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2"/>
      <c r="T139" s="2"/>
      <c r="U139" s="2"/>
      <c r="V139" s="2"/>
      <c r="W139" s="2"/>
      <c r="X139" s="2"/>
      <c r="Y139" s="3"/>
      <c r="Z139" s="3"/>
      <c r="AA139" s="2"/>
      <c r="AB139" s="2"/>
      <c r="AC139" s="2"/>
      <c r="AD139" s="2"/>
      <c r="AE139" s="2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4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</row>
    <row r="140" ht="15.75">
      <c r="A140" s="3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2"/>
      <c r="T140" s="2"/>
      <c r="U140" s="2"/>
      <c r="V140" s="2"/>
      <c r="W140" s="2"/>
      <c r="X140" s="2"/>
      <c r="Y140" s="3"/>
      <c r="Z140" s="3"/>
      <c r="AA140" s="2"/>
      <c r="AB140" s="2"/>
      <c r="AC140" s="2"/>
      <c r="AD140" s="2"/>
      <c r="AE140" s="2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4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</row>
    <row r="141" ht="15.75">
      <c r="A141" s="3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2"/>
      <c r="T141" s="2"/>
      <c r="U141" s="2"/>
      <c r="V141" s="2"/>
      <c r="W141" s="2"/>
      <c r="X141" s="2"/>
      <c r="Y141" s="3"/>
      <c r="Z141" s="3"/>
      <c r="AA141" s="2"/>
      <c r="AB141" s="2"/>
      <c r="AC141" s="2"/>
      <c r="AD141" s="2"/>
      <c r="AE141" s="2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4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</row>
    <row r="142" ht="15.75">
      <c r="A142" s="3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2"/>
      <c r="T142" s="2"/>
      <c r="U142" s="2"/>
      <c r="V142" s="2"/>
      <c r="W142" s="2"/>
      <c r="X142" s="2"/>
      <c r="Y142" s="3"/>
      <c r="Z142" s="3"/>
      <c r="AA142" s="2"/>
      <c r="AB142" s="2"/>
      <c r="AC142" s="2"/>
      <c r="AD142" s="2"/>
      <c r="AE142" s="2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4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</row>
    <row r="143" ht="15.75">
      <c r="A143" s="3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2"/>
      <c r="T143" s="2"/>
      <c r="U143" s="2"/>
      <c r="V143" s="2"/>
      <c r="W143" s="2"/>
      <c r="X143" s="2"/>
      <c r="Y143" s="3"/>
      <c r="Z143" s="3"/>
      <c r="AA143" s="2"/>
      <c r="AB143" s="2"/>
      <c r="AC143" s="2"/>
      <c r="AD143" s="2"/>
      <c r="AE143" s="2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4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</row>
    <row r="144" ht="15.75">
      <c r="A144" s="3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2"/>
      <c r="T144" s="2"/>
      <c r="U144" s="2"/>
      <c r="V144" s="2"/>
      <c r="W144" s="2"/>
      <c r="X144" s="2"/>
      <c r="Y144" s="3"/>
      <c r="Z144" s="3"/>
      <c r="AA144" s="2"/>
      <c r="AB144" s="2"/>
      <c r="AC144" s="2"/>
      <c r="AD144" s="2"/>
      <c r="AE144" s="2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4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</row>
    <row r="145" ht="15.75">
      <c r="A145" s="3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2"/>
      <c r="T145" s="2"/>
      <c r="U145" s="2"/>
      <c r="V145" s="2"/>
      <c r="W145" s="2"/>
      <c r="X145" s="2"/>
      <c r="Y145" s="3"/>
      <c r="Z145" s="3"/>
      <c r="AA145" s="2"/>
      <c r="AB145" s="2"/>
      <c r="AC145" s="2"/>
      <c r="AD145" s="2"/>
      <c r="AE145" s="2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4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</row>
    <row r="146" ht="15.75">
      <c r="A146" s="3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2"/>
      <c r="T146" s="2"/>
      <c r="U146" s="2"/>
      <c r="V146" s="2"/>
      <c r="W146" s="2"/>
      <c r="X146" s="2"/>
      <c r="Y146" s="3"/>
      <c r="Z146" s="3"/>
      <c r="AA146" s="2"/>
      <c r="AB146" s="2"/>
      <c r="AC146" s="2"/>
      <c r="AD146" s="2"/>
      <c r="AE146" s="2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4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</row>
    <row r="147" ht="15.75">
      <c r="A147" s="3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2"/>
      <c r="T147" s="2"/>
      <c r="U147" s="2"/>
      <c r="V147" s="2"/>
      <c r="W147" s="2"/>
      <c r="X147" s="2"/>
      <c r="Y147" s="3"/>
      <c r="Z147" s="3"/>
      <c r="AA147" s="2"/>
      <c r="AB147" s="2"/>
      <c r="AC147" s="2"/>
      <c r="AD147" s="2"/>
      <c r="AE147" s="2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4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</row>
    <row r="148" ht="15.75">
      <c r="A148" s="3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2"/>
      <c r="T148" s="2"/>
      <c r="U148" s="2"/>
      <c r="V148" s="2"/>
      <c r="W148" s="2"/>
      <c r="X148" s="2"/>
      <c r="Y148" s="3"/>
      <c r="Z148" s="3"/>
      <c r="AA148" s="2"/>
      <c r="AB148" s="2"/>
      <c r="AC148" s="2"/>
      <c r="AD148" s="2"/>
      <c r="AE148" s="2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4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</row>
    <row r="149" ht="15.75">
      <c r="A149" s="3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2"/>
      <c r="T149" s="2"/>
      <c r="U149" s="2"/>
      <c r="V149" s="2"/>
      <c r="W149" s="2"/>
      <c r="X149" s="2"/>
      <c r="Y149" s="3"/>
      <c r="Z149" s="3"/>
      <c r="AA149" s="2"/>
      <c r="AB149" s="2"/>
      <c r="AC149" s="2"/>
      <c r="AD149" s="2"/>
      <c r="AE149" s="2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4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</row>
    <row r="150" ht="15.75">
      <c r="A150" s="3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2"/>
      <c r="T150" s="2"/>
      <c r="U150" s="2"/>
      <c r="V150" s="2"/>
      <c r="W150" s="2"/>
      <c r="X150" s="2"/>
      <c r="Y150" s="3"/>
      <c r="Z150" s="3"/>
      <c r="AA150" s="2"/>
      <c r="AB150" s="2"/>
      <c r="AC150" s="2"/>
      <c r="AD150" s="2"/>
      <c r="AE150" s="2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4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</row>
    <row r="151" ht="15.75">
      <c r="A151" s="3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2"/>
      <c r="T151" s="2"/>
      <c r="U151" s="2"/>
      <c r="V151" s="2"/>
      <c r="W151" s="2"/>
      <c r="X151" s="2"/>
      <c r="Y151" s="3"/>
      <c r="Z151" s="3"/>
      <c r="AA151" s="2"/>
      <c r="AB151" s="2"/>
      <c r="AC151" s="2"/>
      <c r="AD151" s="2"/>
      <c r="AE151" s="2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4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</row>
    <row r="152" ht="15.75">
      <c r="A152" s="3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2"/>
      <c r="T152" s="2"/>
      <c r="U152" s="2"/>
      <c r="V152" s="2"/>
      <c r="W152" s="2"/>
      <c r="X152" s="2"/>
      <c r="Y152" s="3"/>
      <c r="Z152" s="3"/>
      <c r="AA152" s="2"/>
      <c r="AB152" s="2"/>
      <c r="AC152" s="2"/>
      <c r="AD152" s="2"/>
      <c r="AE152" s="2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4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</row>
    <row r="153" ht="15.75">
      <c r="A153" s="3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2"/>
      <c r="T153" s="2"/>
      <c r="U153" s="2"/>
      <c r="V153" s="2"/>
      <c r="W153" s="2"/>
      <c r="X153" s="2"/>
      <c r="Y153" s="3"/>
      <c r="Z153" s="3"/>
      <c r="AA153" s="2"/>
      <c r="AB153" s="2"/>
      <c r="AC153" s="2"/>
      <c r="AD153" s="2"/>
      <c r="AE153" s="2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4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</row>
    <row r="154" ht="15.75">
      <c r="A154" s="3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2"/>
      <c r="T154" s="2"/>
      <c r="U154" s="2"/>
      <c r="V154" s="2"/>
      <c r="W154" s="2"/>
      <c r="X154" s="2"/>
      <c r="Y154" s="3"/>
      <c r="Z154" s="3"/>
      <c r="AA154" s="2"/>
      <c r="AB154" s="2"/>
      <c r="AC154" s="2"/>
      <c r="AD154" s="2"/>
      <c r="AE154" s="2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4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</row>
    <row r="155" ht="15.75">
      <c r="A155" s="3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2"/>
      <c r="T155" s="2"/>
      <c r="U155" s="2"/>
      <c r="V155" s="2"/>
      <c r="W155" s="2"/>
      <c r="X155" s="2"/>
      <c r="Y155" s="3"/>
      <c r="Z155" s="3"/>
      <c r="AA155" s="2"/>
      <c r="AB155" s="2"/>
      <c r="AC155" s="2"/>
      <c r="AD155" s="2"/>
      <c r="AE155" s="2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4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</row>
    <row r="156" ht="15.75">
      <c r="A156" s="3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2"/>
      <c r="T156" s="2"/>
      <c r="U156" s="2"/>
      <c r="V156" s="2"/>
      <c r="W156" s="2"/>
      <c r="X156" s="2"/>
      <c r="Y156" s="3"/>
      <c r="Z156" s="3"/>
      <c r="AA156" s="2"/>
      <c r="AB156" s="2"/>
      <c r="AC156" s="2"/>
      <c r="AD156" s="2"/>
      <c r="AE156" s="2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4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</row>
    <row r="157" ht="15.75">
      <c r="A157" s="3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2"/>
      <c r="T157" s="2"/>
      <c r="U157" s="2"/>
      <c r="V157" s="2"/>
      <c r="W157" s="2"/>
      <c r="X157" s="2"/>
      <c r="Y157" s="3"/>
      <c r="Z157" s="3"/>
      <c r="AA157" s="2"/>
      <c r="AB157" s="2"/>
      <c r="AC157" s="2"/>
      <c r="AD157" s="2"/>
      <c r="AE157" s="2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4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</row>
    <row r="158" ht="15.75">
      <c r="A158" s="3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2"/>
      <c r="T158" s="2"/>
      <c r="U158" s="2"/>
      <c r="V158" s="2"/>
      <c r="W158" s="2"/>
      <c r="X158" s="2"/>
      <c r="Y158" s="3"/>
      <c r="Z158" s="3"/>
      <c r="AA158" s="2"/>
      <c r="AB158" s="2"/>
      <c r="AC158" s="2"/>
      <c r="AD158" s="2"/>
      <c r="AE158" s="2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4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</row>
    <row r="159" ht="15.75">
      <c r="A159" s="3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2"/>
      <c r="T159" s="2"/>
      <c r="U159" s="2"/>
      <c r="V159" s="2"/>
      <c r="W159" s="2"/>
      <c r="X159" s="2"/>
      <c r="Y159" s="3"/>
      <c r="Z159" s="3"/>
      <c r="AA159" s="2"/>
      <c r="AB159" s="2"/>
      <c r="AC159" s="2"/>
      <c r="AD159" s="2"/>
      <c r="AE159" s="2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4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</row>
    <row r="160" ht="15.75">
      <c r="A160" s="3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2"/>
      <c r="T160" s="2"/>
      <c r="U160" s="2"/>
      <c r="V160" s="2"/>
      <c r="W160" s="2"/>
      <c r="X160" s="2"/>
      <c r="Y160" s="3"/>
      <c r="Z160" s="3"/>
      <c r="AA160" s="2"/>
      <c r="AB160" s="2"/>
      <c r="AC160" s="2"/>
      <c r="AD160" s="2"/>
      <c r="AE160" s="2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4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</row>
    <row r="161" ht="15.75">
      <c r="A161" s="3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2"/>
      <c r="T161" s="2"/>
      <c r="U161" s="2"/>
      <c r="V161" s="2"/>
      <c r="W161" s="2"/>
      <c r="X161" s="2"/>
      <c r="Y161" s="3"/>
      <c r="Z161" s="3"/>
      <c r="AA161" s="2"/>
      <c r="AB161" s="2"/>
      <c r="AC161" s="2"/>
      <c r="AD161" s="2"/>
      <c r="AE161" s="2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4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</row>
    <row r="162" ht="15.75">
      <c r="A162" s="3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2"/>
      <c r="T162" s="2"/>
      <c r="U162" s="2"/>
      <c r="V162" s="2"/>
      <c r="W162" s="2"/>
      <c r="X162" s="2"/>
      <c r="Y162" s="3"/>
      <c r="Z162" s="3"/>
      <c r="AA162" s="2"/>
      <c r="AB162" s="2"/>
      <c r="AC162" s="2"/>
      <c r="AD162" s="2"/>
      <c r="AE162" s="2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4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</row>
    <row r="163" ht="15.75">
      <c r="A163" s="3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2"/>
      <c r="T163" s="2"/>
      <c r="U163" s="2"/>
      <c r="V163" s="2"/>
      <c r="W163" s="2"/>
      <c r="X163" s="2"/>
      <c r="Y163" s="3"/>
      <c r="Z163" s="3"/>
      <c r="AA163" s="2"/>
      <c r="AB163" s="2"/>
      <c r="AC163" s="2"/>
      <c r="AD163" s="2"/>
      <c r="AE163" s="2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4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</row>
    <row r="164" ht="15.75">
      <c r="A164" s="3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2"/>
      <c r="T164" s="2"/>
      <c r="U164" s="2"/>
      <c r="V164" s="2"/>
      <c r="W164" s="2"/>
      <c r="X164" s="2"/>
      <c r="Y164" s="3"/>
      <c r="Z164" s="3"/>
      <c r="AA164" s="2"/>
      <c r="AB164" s="2"/>
      <c r="AC164" s="2"/>
      <c r="AD164" s="2"/>
      <c r="AE164" s="2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4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</row>
    <row r="165" ht="15.75">
      <c r="A165" s="3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2"/>
      <c r="T165" s="2"/>
      <c r="U165" s="2"/>
      <c r="V165" s="2"/>
      <c r="W165" s="2"/>
      <c r="X165" s="2"/>
      <c r="Y165" s="3"/>
      <c r="Z165" s="3"/>
      <c r="AA165" s="2"/>
      <c r="AB165" s="2"/>
      <c r="AC165" s="2"/>
      <c r="AD165" s="2"/>
      <c r="AE165" s="2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4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</row>
    <row r="166" ht="15.75">
      <c r="A166" s="3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2"/>
      <c r="T166" s="2"/>
      <c r="U166" s="2"/>
      <c r="V166" s="2"/>
      <c r="W166" s="2"/>
      <c r="X166" s="2"/>
      <c r="Y166" s="3"/>
      <c r="Z166" s="3"/>
      <c r="AA166" s="2"/>
      <c r="AB166" s="2"/>
      <c r="AC166" s="2"/>
      <c r="AD166" s="2"/>
      <c r="AE166" s="2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4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</row>
    <row r="167" ht="15.75">
      <c r="A167" s="3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2"/>
      <c r="T167" s="2"/>
      <c r="U167" s="2"/>
      <c r="V167" s="2"/>
      <c r="W167" s="2"/>
      <c r="X167" s="2"/>
      <c r="Y167" s="3"/>
      <c r="Z167" s="3"/>
      <c r="AA167" s="2"/>
      <c r="AB167" s="2"/>
      <c r="AC167" s="2"/>
      <c r="AD167" s="2"/>
      <c r="AE167" s="2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4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</row>
    <row r="168" ht="15.75">
      <c r="A168" s="3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2"/>
      <c r="T168" s="2"/>
      <c r="U168" s="2"/>
      <c r="V168" s="2"/>
      <c r="W168" s="2"/>
      <c r="X168" s="2"/>
      <c r="Y168" s="3"/>
      <c r="Z168" s="3"/>
      <c r="AA168" s="2"/>
      <c r="AB168" s="2"/>
      <c r="AC168" s="2"/>
      <c r="AD168" s="2"/>
      <c r="AE168" s="2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4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</row>
    <row r="169" ht="15.75">
      <c r="A169" s="3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2"/>
      <c r="T169" s="2"/>
      <c r="U169" s="2"/>
      <c r="V169" s="2"/>
      <c r="W169" s="2"/>
      <c r="X169" s="2"/>
      <c r="Y169" s="3"/>
      <c r="Z169" s="3"/>
      <c r="AA169" s="2"/>
      <c r="AB169" s="2"/>
      <c r="AC169" s="2"/>
      <c r="AD169" s="2"/>
      <c r="AE169" s="2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4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</row>
    <row r="170" ht="15.75">
      <c r="A170" s="3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2"/>
      <c r="T170" s="2"/>
      <c r="U170" s="2"/>
      <c r="V170" s="2"/>
      <c r="W170" s="2"/>
      <c r="X170" s="2"/>
      <c r="Y170" s="3"/>
      <c r="Z170" s="3"/>
      <c r="AA170" s="2"/>
      <c r="AB170" s="2"/>
      <c r="AC170" s="2"/>
      <c r="AD170" s="2"/>
      <c r="AE170" s="2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4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</row>
    <row r="171" ht="15.75">
      <c r="A171" s="3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2"/>
      <c r="T171" s="2"/>
      <c r="U171" s="2"/>
      <c r="V171" s="2"/>
      <c r="W171" s="2"/>
      <c r="X171" s="2"/>
      <c r="Y171" s="3"/>
      <c r="Z171" s="3"/>
      <c r="AA171" s="2"/>
      <c r="AB171" s="2"/>
      <c r="AC171" s="2"/>
      <c r="AD171" s="2"/>
      <c r="AE171" s="2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4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</row>
    <row r="172" ht="15.75">
      <c r="A172" s="3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2"/>
      <c r="T172" s="2"/>
      <c r="U172" s="2"/>
      <c r="V172" s="2"/>
      <c r="W172" s="2"/>
      <c r="X172" s="2"/>
      <c r="Y172" s="3"/>
      <c r="Z172" s="3"/>
      <c r="AA172" s="2"/>
      <c r="AB172" s="2"/>
      <c r="AC172" s="2"/>
      <c r="AD172" s="2"/>
      <c r="AE172" s="2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4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</row>
    <row r="173" ht="15.75">
      <c r="A173" s="3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2"/>
      <c r="T173" s="2"/>
      <c r="U173" s="2"/>
      <c r="V173" s="2"/>
      <c r="W173" s="2"/>
      <c r="X173" s="2"/>
      <c r="Y173" s="3"/>
      <c r="Z173" s="3"/>
      <c r="AA173" s="2"/>
      <c r="AB173" s="2"/>
      <c r="AC173" s="2"/>
      <c r="AD173" s="2"/>
      <c r="AE173" s="2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4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</row>
    <row r="174" ht="15.75">
      <c r="A174" s="3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2"/>
      <c r="T174" s="2"/>
      <c r="U174" s="2"/>
      <c r="V174" s="2"/>
      <c r="W174" s="2"/>
      <c r="X174" s="2"/>
      <c r="Y174" s="3"/>
      <c r="Z174" s="3"/>
      <c r="AA174" s="2"/>
      <c r="AB174" s="2"/>
      <c r="AC174" s="2"/>
      <c r="AD174" s="2"/>
      <c r="AE174" s="2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4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</row>
    <row r="175" ht="15.75">
      <c r="A175" s="3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2"/>
      <c r="T175" s="2"/>
      <c r="U175" s="2"/>
      <c r="V175" s="2"/>
      <c r="W175" s="2"/>
      <c r="X175" s="2"/>
      <c r="Y175" s="3"/>
      <c r="Z175" s="3"/>
      <c r="AA175" s="2"/>
      <c r="AB175" s="2"/>
      <c r="AC175" s="2"/>
      <c r="AD175" s="2"/>
      <c r="AE175" s="2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4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</row>
    <row r="176" ht="15.75">
      <c r="A176" s="3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2"/>
      <c r="T176" s="2"/>
      <c r="U176" s="2"/>
      <c r="V176" s="2"/>
      <c r="W176" s="2"/>
      <c r="X176" s="2"/>
      <c r="Y176" s="3"/>
      <c r="Z176" s="3"/>
      <c r="AA176" s="2"/>
      <c r="AB176" s="2"/>
      <c r="AC176" s="2"/>
      <c r="AD176" s="2"/>
      <c r="AE176" s="2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4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</row>
    <row r="177" ht="15.75">
      <c r="A177" s="3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2"/>
      <c r="T177" s="2"/>
      <c r="U177" s="2"/>
      <c r="V177" s="2"/>
      <c r="W177" s="2"/>
      <c r="X177" s="2"/>
      <c r="Y177" s="3"/>
      <c r="Z177" s="3"/>
      <c r="AA177" s="2"/>
      <c r="AB177" s="2"/>
      <c r="AC177" s="2"/>
      <c r="AD177" s="2"/>
      <c r="AE177" s="2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4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</row>
    <row r="178" ht="15.75">
      <c r="A178" s="3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2"/>
      <c r="T178" s="2"/>
      <c r="U178" s="2"/>
      <c r="V178" s="2"/>
      <c r="W178" s="2"/>
      <c r="X178" s="2"/>
      <c r="Y178" s="3"/>
      <c r="Z178" s="3"/>
      <c r="AA178" s="2"/>
      <c r="AB178" s="2"/>
      <c r="AC178" s="2"/>
      <c r="AD178" s="2"/>
      <c r="AE178" s="2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4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</row>
    <row r="179" ht="15.75">
      <c r="A179" s="3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2"/>
      <c r="T179" s="2"/>
      <c r="U179" s="2"/>
      <c r="V179" s="2"/>
      <c r="W179" s="2"/>
      <c r="X179" s="2"/>
      <c r="Y179" s="3"/>
      <c r="Z179" s="3"/>
      <c r="AA179" s="2"/>
      <c r="AB179" s="2"/>
      <c r="AC179" s="2"/>
      <c r="AD179" s="2"/>
      <c r="AE179" s="2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4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</row>
    <row r="180" ht="15.75">
      <c r="A180" s="3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2"/>
      <c r="T180" s="2"/>
      <c r="U180" s="2"/>
      <c r="V180" s="2"/>
      <c r="W180" s="2"/>
      <c r="X180" s="2"/>
      <c r="Y180" s="3"/>
      <c r="Z180" s="3"/>
      <c r="AA180" s="2"/>
      <c r="AB180" s="2"/>
      <c r="AC180" s="2"/>
      <c r="AD180" s="2"/>
      <c r="AE180" s="2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4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</row>
    <row r="181" ht="15.75">
      <c r="A181" s="3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2"/>
      <c r="T181" s="2"/>
      <c r="U181" s="2"/>
      <c r="V181" s="2"/>
      <c r="W181" s="2"/>
      <c r="X181" s="2"/>
      <c r="Y181" s="3"/>
      <c r="Z181" s="3"/>
      <c r="AA181" s="2"/>
      <c r="AB181" s="2"/>
      <c r="AC181" s="2"/>
      <c r="AD181" s="2"/>
      <c r="AE181" s="2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4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</row>
    <row r="182" ht="15.75">
      <c r="A182" s="3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2"/>
      <c r="T182" s="2"/>
      <c r="U182" s="2"/>
      <c r="V182" s="2"/>
      <c r="W182" s="2"/>
      <c r="X182" s="2"/>
      <c r="Y182" s="3"/>
      <c r="Z182" s="3"/>
      <c r="AA182" s="2"/>
      <c r="AB182" s="2"/>
      <c r="AC182" s="2"/>
      <c r="AD182" s="2"/>
      <c r="AE182" s="2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4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</row>
    <row r="183" ht="15.75">
      <c r="A183" s="3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2"/>
      <c r="T183" s="2"/>
      <c r="U183" s="2"/>
      <c r="V183" s="2"/>
      <c r="W183" s="2"/>
      <c r="X183" s="2"/>
      <c r="Y183" s="3"/>
      <c r="Z183" s="3"/>
      <c r="AA183" s="2"/>
      <c r="AB183" s="2"/>
      <c r="AC183" s="2"/>
      <c r="AD183" s="2"/>
      <c r="AE183" s="2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4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</row>
    <row r="184" ht="15.75">
      <c r="A184" s="3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2"/>
      <c r="T184" s="2"/>
      <c r="U184" s="2"/>
      <c r="V184" s="2"/>
      <c r="W184" s="2"/>
      <c r="X184" s="2"/>
      <c r="Y184" s="3"/>
      <c r="Z184" s="3"/>
      <c r="AA184" s="2"/>
      <c r="AB184" s="2"/>
      <c r="AC184" s="2"/>
      <c r="AD184" s="2"/>
      <c r="AE184" s="2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4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</row>
    <row r="185" ht="15.75">
      <c r="A185" s="3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2"/>
      <c r="T185" s="2"/>
      <c r="U185" s="2"/>
      <c r="V185" s="2"/>
      <c r="W185" s="2"/>
      <c r="X185" s="2"/>
      <c r="Y185" s="3"/>
      <c r="Z185" s="3"/>
      <c r="AA185" s="2"/>
      <c r="AB185" s="2"/>
      <c r="AC185" s="2"/>
      <c r="AD185" s="2"/>
      <c r="AE185" s="2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4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</row>
    <row r="186" ht="15.75">
      <c r="A186" s="3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2"/>
      <c r="T186" s="2"/>
      <c r="U186" s="2"/>
      <c r="V186" s="2"/>
      <c r="W186" s="2"/>
      <c r="X186" s="2"/>
      <c r="Y186" s="3"/>
      <c r="Z186" s="3"/>
      <c r="AA186" s="2"/>
      <c r="AB186" s="2"/>
      <c r="AC186" s="2"/>
      <c r="AD186" s="2"/>
      <c r="AE186" s="2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4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</row>
    <row r="187" ht="15.75">
      <c r="A187" s="3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2"/>
      <c r="T187" s="2"/>
      <c r="U187" s="2"/>
      <c r="V187" s="2"/>
      <c r="W187" s="2"/>
      <c r="X187" s="2"/>
      <c r="Y187" s="3"/>
      <c r="Z187" s="3"/>
      <c r="AA187" s="2"/>
      <c r="AB187" s="2"/>
      <c r="AC187" s="2"/>
      <c r="AD187" s="2"/>
      <c r="AE187" s="2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4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</row>
    <row r="188" ht="15.75">
      <c r="A188" s="3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2"/>
      <c r="T188" s="2"/>
      <c r="U188" s="2"/>
      <c r="V188" s="2"/>
      <c r="W188" s="2"/>
      <c r="X188" s="2"/>
      <c r="Y188" s="3"/>
      <c r="Z188" s="3"/>
      <c r="AA188" s="2"/>
      <c r="AB188" s="2"/>
      <c r="AC188" s="2"/>
      <c r="AD188" s="2"/>
      <c r="AE188" s="2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4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</row>
    <row r="189" ht="15.75">
      <c r="A189" s="3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2"/>
      <c r="T189" s="2"/>
      <c r="U189" s="2"/>
      <c r="V189" s="2"/>
      <c r="W189" s="2"/>
      <c r="X189" s="2"/>
      <c r="Y189" s="3"/>
      <c r="Z189" s="3"/>
      <c r="AA189" s="2"/>
      <c r="AB189" s="2"/>
      <c r="AC189" s="2"/>
      <c r="AD189" s="2"/>
      <c r="AE189" s="2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4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</row>
    <row r="190" ht="15.75">
      <c r="A190" s="3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2"/>
      <c r="T190" s="2"/>
      <c r="U190" s="2"/>
      <c r="V190" s="2"/>
      <c r="W190" s="2"/>
      <c r="X190" s="2"/>
      <c r="Y190" s="3"/>
      <c r="Z190" s="3"/>
      <c r="AA190" s="2"/>
      <c r="AB190" s="2"/>
      <c r="AC190" s="2"/>
      <c r="AD190" s="2"/>
      <c r="AE190" s="2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4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</row>
    <row r="191" ht="15.75">
      <c r="A191" s="3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2"/>
      <c r="T191" s="2"/>
      <c r="U191" s="2"/>
      <c r="V191" s="2"/>
      <c r="W191" s="2"/>
      <c r="X191" s="2"/>
      <c r="Y191" s="3"/>
      <c r="Z191" s="3"/>
      <c r="AA191" s="2"/>
      <c r="AB191" s="2"/>
      <c r="AC191" s="2"/>
      <c r="AD191" s="2"/>
      <c r="AE191" s="2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4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</row>
    <row r="192" ht="15.75">
      <c r="A192" s="3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2"/>
      <c r="T192" s="2"/>
      <c r="U192" s="2"/>
      <c r="V192" s="2"/>
      <c r="W192" s="2"/>
      <c r="X192" s="2"/>
      <c r="Y192" s="3"/>
      <c r="Z192" s="3"/>
      <c r="AA192" s="2"/>
      <c r="AB192" s="2"/>
      <c r="AC192" s="2"/>
      <c r="AD192" s="2"/>
      <c r="AE192" s="2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4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</row>
    <row r="193" ht="15.75">
      <c r="A193" s="3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2"/>
      <c r="T193" s="2"/>
      <c r="U193" s="2"/>
      <c r="V193" s="2"/>
      <c r="W193" s="2"/>
      <c r="X193" s="2"/>
      <c r="Y193" s="3"/>
      <c r="Z193" s="3"/>
      <c r="AA193" s="2"/>
      <c r="AB193" s="2"/>
      <c r="AC193" s="2"/>
      <c r="AD193" s="2"/>
      <c r="AE193" s="2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4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</row>
    <row r="194" ht="15.75">
      <c r="A194" s="3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2"/>
      <c r="T194" s="2"/>
      <c r="U194" s="2"/>
      <c r="V194" s="2"/>
      <c r="W194" s="2"/>
      <c r="X194" s="2"/>
      <c r="Y194" s="3"/>
      <c r="Z194" s="3"/>
      <c r="AA194" s="2"/>
      <c r="AB194" s="2"/>
      <c r="AC194" s="2"/>
      <c r="AD194" s="2"/>
      <c r="AE194" s="2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4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</row>
    <row r="195" ht="15.75">
      <c r="A195" s="3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2"/>
      <c r="T195" s="2"/>
      <c r="U195" s="2"/>
      <c r="V195" s="2"/>
      <c r="W195" s="2"/>
      <c r="X195" s="2"/>
      <c r="Y195" s="3"/>
      <c r="Z195" s="3"/>
      <c r="AA195" s="2"/>
      <c r="AB195" s="2"/>
      <c r="AC195" s="2"/>
      <c r="AD195" s="2"/>
      <c r="AE195" s="2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4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</row>
    <row r="196" ht="15.75">
      <c r="A196" s="3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2"/>
      <c r="T196" s="2"/>
      <c r="U196" s="2"/>
      <c r="V196" s="2"/>
      <c r="W196" s="2"/>
      <c r="X196" s="2"/>
      <c r="Y196" s="3"/>
      <c r="Z196" s="3"/>
      <c r="AA196" s="2"/>
      <c r="AB196" s="2"/>
      <c r="AC196" s="2"/>
      <c r="AD196" s="2"/>
      <c r="AE196" s="2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4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</row>
    <row r="197" ht="15.75">
      <c r="A197" s="3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2"/>
      <c r="T197" s="2"/>
      <c r="U197" s="2"/>
      <c r="V197" s="2"/>
      <c r="W197" s="2"/>
      <c r="X197" s="2"/>
      <c r="Y197" s="3"/>
      <c r="Z197" s="3"/>
      <c r="AA197" s="2"/>
      <c r="AB197" s="2"/>
      <c r="AC197" s="2"/>
      <c r="AD197" s="2"/>
      <c r="AE197" s="2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4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</row>
    <row r="198" ht="15.75">
      <c r="A198" s="3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2"/>
      <c r="T198" s="2"/>
      <c r="U198" s="2"/>
      <c r="V198" s="2"/>
      <c r="W198" s="2"/>
      <c r="X198" s="2"/>
      <c r="Y198" s="3"/>
      <c r="Z198" s="3"/>
      <c r="AA198" s="2"/>
      <c r="AB198" s="2"/>
      <c r="AC198" s="2"/>
      <c r="AD198" s="2"/>
      <c r="AE198" s="2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4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</row>
    <row r="199" ht="15.75">
      <c r="A199" s="3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2"/>
      <c r="T199" s="2"/>
      <c r="U199" s="2"/>
      <c r="V199" s="2"/>
      <c r="W199" s="2"/>
      <c r="X199" s="2"/>
      <c r="Y199" s="3"/>
      <c r="Z199" s="3"/>
      <c r="AA199" s="2"/>
      <c r="AB199" s="2"/>
      <c r="AC199" s="2"/>
      <c r="AD199" s="2"/>
      <c r="AE199" s="2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4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</row>
    <row r="200" ht="15.75">
      <c r="A200" s="3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2"/>
      <c r="T200" s="2"/>
      <c r="U200" s="2"/>
      <c r="V200" s="2"/>
      <c r="W200" s="2"/>
      <c r="X200" s="2"/>
      <c r="Y200" s="3"/>
      <c r="Z200" s="3"/>
      <c r="AA200" s="2"/>
      <c r="AB200" s="2"/>
      <c r="AC200" s="2"/>
      <c r="AD200" s="2"/>
      <c r="AE200" s="2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4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</row>
    <row r="201" ht="15.75">
      <c r="A201" s="3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2"/>
      <c r="T201" s="2"/>
      <c r="U201" s="2"/>
      <c r="V201" s="2"/>
      <c r="W201" s="2"/>
      <c r="X201" s="2"/>
      <c r="Y201" s="3"/>
      <c r="Z201" s="3"/>
      <c r="AA201" s="2"/>
      <c r="AB201" s="2"/>
      <c r="AC201" s="2"/>
      <c r="AD201" s="2"/>
      <c r="AE201" s="2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4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</row>
    <row r="202" ht="15.75">
      <c r="A202" s="3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2"/>
      <c r="T202" s="2"/>
      <c r="U202" s="2"/>
      <c r="V202" s="2"/>
      <c r="W202" s="2"/>
      <c r="X202" s="2"/>
      <c r="Y202" s="3"/>
      <c r="Z202" s="3"/>
      <c r="AA202" s="2"/>
      <c r="AB202" s="2"/>
      <c r="AC202" s="2"/>
      <c r="AD202" s="2"/>
      <c r="AE202" s="2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4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</row>
    <row r="203" ht="15.75">
      <c r="A203" s="3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2"/>
      <c r="T203" s="2"/>
      <c r="U203" s="2"/>
      <c r="V203" s="2"/>
      <c r="W203" s="2"/>
      <c r="X203" s="2"/>
      <c r="Y203" s="3"/>
      <c r="Z203" s="3"/>
      <c r="AA203" s="2"/>
      <c r="AB203" s="2"/>
      <c r="AC203" s="2"/>
      <c r="AD203" s="2"/>
      <c r="AE203" s="2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4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</row>
    <row r="204" ht="15.75">
      <c r="A204" s="3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2"/>
      <c r="T204" s="2"/>
      <c r="U204" s="2"/>
      <c r="V204" s="2"/>
      <c r="W204" s="2"/>
      <c r="X204" s="2"/>
      <c r="Y204" s="3"/>
      <c r="Z204" s="3"/>
      <c r="AA204" s="2"/>
      <c r="AB204" s="2"/>
      <c r="AC204" s="2"/>
      <c r="AD204" s="2"/>
      <c r="AE204" s="2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4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</row>
    <row r="205" ht="15.75">
      <c r="A205" s="3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2"/>
      <c r="T205" s="2"/>
      <c r="U205" s="2"/>
      <c r="V205" s="2"/>
      <c r="W205" s="2"/>
      <c r="X205" s="2"/>
      <c r="Y205" s="3"/>
      <c r="Z205" s="3"/>
      <c r="AA205" s="2"/>
      <c r="AB205" s="2"/>
      <c r="AC205" s="2"/>
      <c r="AD205" s="2"/>
      <c r="AE205" s="2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4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</row>
    <row r="206" ht="15.75">
      <c r="A206" s="3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2"/>
      <c r="T206" s="2"/>
      <c r="U206" s="2"/>
      <c r="V206" s="2"/>
      <c r="W206" s="2"/>
      <c r="X206" s="2"/>
      <c r="Y206" s="3"/>
      <c r="Z206" s="3"/>
      <c r="AA206" s="2"/>
      <c r="AB206" s="2"/>
      <c r="AC206" s="2"/>
      <c r="AD206" s="2"/>
      <c r="AE206" s="2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4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</row>
    <row r="207" ht="15.75">
      <c r="A207" s="3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2"/>
      <c r="T207" s="2"/>
      <c r="U207" s="2"/>
      <c r="V207" s="2"/>
      <c r="W207" s="2"/>
      <c r="X207" s="2"/>
      <c r="Y207" s="3"/>
      <c r="Z207" s="3"/>
      <c r="AA207" s="2"/>
      <c r="AB207" s="2"/>
      <c r="AC207" s="2"/>
      <c r="AD207" s="2"/>
      <c r="AE207" s="2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4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</row>
    <row r="208" ht="15.75">
      <c r="A208" s="3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2"/>
      <c r="T208" s="2"/>
      <c r="U208" s="2"/>
      <c r="V208" s="2"/>
      <c r="W208" s="2"/>
      <c r="X208" s="2"/>
      <c r="Y208" s="3"/>
      <c r="Z208" s="3"/>
      <c r="AA208" s="2"/>
      <c r="AB208" s="2"/>
      <c r="AC208" s="2"/>
      <c r="AD208" s="2"/>
      <c r="AE208" s="2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4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</row>
    <row r="209" ht="15.75">
      <c r="A209" s="3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2"/>
      <c r="T209" s="2"/>
      <c r="U209" s="2"/>
      <c r="V209" s="2"/>
      <c r="W209" s="2"/>
      <c r="X209" s="2"/>
      <c r="Y209" s="3"/>
      <c r="Z209" s="3"/>
      <c r="AA209" s="2"/>
      <c r="AB209" s="2"/>
      <c r="AC209" s="2"/>
      <c r="AD209" s="2"/>
      <c r="AE209" s="2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4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</row>
    <row r="210" ht="15.75">
      <c r="A210" s="3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2"/>
      <c r="T210" s="2"/>
      <c r="U210" s="2"/>
      <c r="V210" s="2"/>
      <c r="W210" s="2"/>
      <c r="X210" s="2"/>
      <c r="Y210" s="3"/>
      <c r="Z210" s="3"/>
      <c r="AA210" s="2"/>
      <c r="AB210" s="2"/>
      <c r="AC210" s="2"/>
      <c r="AD210" s="2"/>
      <c r="AE210" s="2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4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</row>
    <row r="211" ht="15.75">
      <c r="A211" s="3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2"/>
      <c r="T211" s="2"/>
      <c r="U211" s="2"/>
      <c r="V211" s="2"/>
      <c r="W211" s="2"/>
      <c r="X211" s="2"/>
      <c r="Y211" s="3"/>
      <c r="Z211" s="3"/>
      <c r="AA211" s="2"/>
      <c r="AB211" s="2"/>
      <c r="AC211" s="2"/>
      <c r="AD211" s="2"/>
      <c r="AE211" s="2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4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</row>
    <row r="212" ht="15.75">
      <c r="A212" s="3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2"/>
      <c r="T212" s="2"/>
      <c r="U212" s="2"/>
      <c r="V212" s="2"/>
      <c r="W212" s="2"/>
      <c r="X212" s="2"/>
      <c r="Y212" s="3"/>
      <c r="Z212" s="3"/>
      <c r="AA212" s="2"/>
      <c r="AB212" s="2"/>
      <c r="AC212" s="2"/>
      <c r="AD212" s="2"/>
      <c r="AE212" s="2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4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</row>
    <row r="213" ht="15.75">
      <c r="A213" s="3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2"/>
      <c r="T213" s="2"/>
      <c r="U213" s="2"/>
      <c r="V213" s="2"/>
      <c r="W213" s="2"/>
      <c r="X213" s="2"/>
      <c r="Y213" s="3"/>
      <c r="Z213" s="3"/>
      <c r="AA213" s="2"/>
      <c r="AB213" s="2"/>
      <c r="AC213" s="2"/>
      <c r="AD213" s="2"/>
      <c r="AE213" s="2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4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</row>
    <row r="214" ht="15.75">
      <c r="A214" s="3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2"/>
      <c r="T214" s="2"/>
      <c r="U214" s="2"/>
      <c r="V214" s="2"/>
      <c r="W214" s="2"/>
      <c r="X214" s="2"/>
      <c r="Y214" s="3"/>
      <c r="Z214" s="3"/>
      <c r="AA214" s="2"/>
      <c r="AB214" s="2"/>
      <c r="AC214" s="2"/>
      <c r="AD214" s="2"/>
      <c r="AE214" s="2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4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</row>
    <row r="215" ht="15.75">
      <c r="A215" s="3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2"/>
      <c r="T215" s="2"/>
      <c r="U215" s="2"/>
      <c r="V215" s="2"/>
      <c r="W215" s="2"/>
      <c r="X215" s="2"/>
      <c r="Y215" s="3"/>
      <c r="Z215" s="3"/>
      <c r="AA215" s="2"/>
      <c r="AB215" s="2"/>
      <c r="AC215" s="2"/>
      <c r="AD215" s="2"/>
      <c r="AE215" s="2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4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</row>
    <row r="216" ht="15.75">
      <c r="A216" s="3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2"/>
      <c r="T216" s="2"/>
      <c r="U216" s="2"/>
      <c r="V216" s="2"/>
      <c r="W216" s="2"/>
      <c r="X216" s="2"/>
      <c r="Y216" s="3"/>
      <c r="Z216" s="3"/>
      <c r="AA216" s="2"/>
      <c r="AB216" s="2"/>
      <c r="AC216" s="2"/>
      <c r="AD216" s="2"/>
      <c r="AE216" s="2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4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</row>
    <row r="217" ht="15.75">
      <c r="A217" s="3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2"/>
      <c r="T217" s="2"/>
      <c r="U217" s="2"/>
      <c r="V217" s="2"/>
      <c r="W217" s="2"/>
      <c r="X217" s="2"/>
      <c r="Y217" s="3"/>
      <c r="Z217" s="3"/>
      <c r="AA217" s="2"/>
      <c r="AB217" s="2"/>
      <c r="AC217" s="2"/>
      <c r="AD217" s="2"/>
      <c r="AE217" s="2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4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</row>
    <row r="218" ht="15.75">
      <c r="A218" s="3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2"/>
      <c r="T218" s="2"/>
      <c r="U218" s="2"/>
      <c r="V218" s="2"/>
      <c r="W218" s="2"/>
      <c r="X218" s="2"/>
      <c r="Y218" s="3"/>
      <c r="Z218" s="3"/>
      <c r="AA218" s="2"/>
      <c r="AB218" s="2"/>
      <c r="AC218" s="2"/>
      <c r="AD218" s="2"/>
      <c r="AE218" s="2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4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</row>
    <row r="219" ht="15.75">
      <c r="A219" s="3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2"/>
      <c r="T219" s="2"/>
      <c r="U219" s="2"/>
      <c r="V219" s="2"/>
      <c r="W219" s="2"/>
      <c r="X219" s="2"/>
      <c r="Y219" s="3"/>
      <c r="Z219" s="3"/>
      <c r="AA219" s="2"/>
      <c r="AB219" s="2"/>
      <c r="AC219" s="2"/>
      <c r="AD219" s="2"/>
      <c r="AE219" s="2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4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</row>
    <row r="220" ht="15.75">
      <c r="A220" s="3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2"/>
      <c r="T220" s="2"/>
      <c r="U220" s="2"/>
      <c r="V220" s="2"/>
      <c r="W220" s="2"/>
      <c r="X220" s="2"/>
      <c r="Y220" s="3"/>
      <c r="Z220" s="3"/>
      <c r="AA220" s="2"/>
      <c r="AB220" s="2"/>
      <c r="AC220" s="2"/>
      <c r="AD220" s="2"/>
      <c r="AE220" s="2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4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</row>
    <row r="221" ht="15.75">
      <c r="A221" s="3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2"/>
      <c r="T221" s="2"/>
      <c r="U221" s="2"/>
      <c r="V221" s="2"/>
      <c r="W221" s="2"/>
      <c r="X221" s="2"/>
      <c r="Y221" s="3"/>
      <c r="Z221" s="3"/>
      <c r="AA221" s="2"/>
      <c r="AB221" s="2"/>
      <c r="AC221" s="2"/>
      <c r="AD221" s="2"/>
      <c r="AE221" s="2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4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</row>
    <row r="222" ht="15.75">
      <c r="A222" s="3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2"/>
      <c r="T222" s="2"/>
      <c r="U222" s="2"/>
      <c r="V222" s="2"/>
      <c r="W222" s="2"/>
      <c r="X222" s="2"/>
      <c r="Y222" s="3"/>
      <c r="Z222" s="3"/>
      <c r="AA222" s="2"/>
      <c r="AB222" s="2"/>
      <c r="AC222" s="2"/>
      <c r="AD222" s="2"/>
      <c r="AE222" s="2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4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</row>
    <row r="223" ht="15.75">
      <c r="A223" s="3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2"/>
      <c r="T223" s="2"/>
      <c r="U223" s="2"/>
      <c r="V223" s="2"/>
      <c r="W223" s="2"/>
      <c r="X223" s="2"/>
      <c r="Y223" s="3"/>
      <c r="Z223" s="3"/>
      <c r="AA223" s="2"/>
      <c r="AB223" s="2"/>
      <c r="AC223" s="2"/>
      <c r="AD223" s="2"/>
      <c r="AE223" s="2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4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</row>
    <row r="224" ht="15.75">
      <c r="A224" s="3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2"/>
      <c r="T224" s="2"/>
      <c r="U224" s="2"/>
      <c r="V224" s="2"/>
      <c r="W224" s="2"/>
      <c r="X224" s="2"/>
      <c r="Y224" s="3"/>
      <c r="Z224" s="3"/>
      <c r="AA224" s="2"/>
      <c r="AB224" s="2"/>
      <c r="AC224" s="2"/>
      <c r="AD224" s="2"/>
      <c r="AE224" s="2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4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</row>
    <row r="225" ht="15.75">
      <c r="A225" s="3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2"/>
      <c r="T225" s="2"/>
      <c r="U225" s="2"/>
      <c r="V225" s="2"/>
      <c r="W225" s="2"/>
      <c r="X225" s="2"/>
      <c r="Y225" s="3"/>
      <c r="Z225" s="3"/>
      <c r="AA225" s="2"/>
      <c r="AB225" s="2"/>
      <c r="AC225" s="2"/>
      <c r="AD225" s="2"/>
      <c r="AE225" s="2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4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</row>
    <row r="226" ht="15.75">
      <c r="A226" s="3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2"/>
      <c r="T226" s="2"/>
      <c r="U226" s="2"/>
      <c r="V226" s="2"/>
      <c r="W226" s="2"/>
      <c r="X226" s="2"/>
      <c r="Y226" s="3"/>
      <c r="Z226" s="3"/>
      <c r="AA226" s="2"/>
      <c r="AB226" s="2"/>
      <c r="AC226" s="2"/>
      <c r="AD226" s="2"/>
      <c r="AE226" s="2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4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</row>
    <row r="227" ht="15.75">
      <c r="A227" s="3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2"/>
      <c r="T227" s="2"/>
      <c r="U227" s="2"/>
      <c r="V227" s="2"/>
      <c r="W227" s="2"/>
      <c r="X227" s="2"/>
      <c r="Y227" s="3"/>
      <c r="Z227" s="3"/>
      <c r="AA227" s="2"/>
      <c r="AB227" s="2"/>
      <c r="AC227" s="2"/>
      <c r="AD227" s="2"/>
      <c r="AE227" s="2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4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</row>
    <row r="228" ht="15.75">
      <c r="A228" s="3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2"/>
      <c r="T228" s="2"/>
      <c r="U228" s="2"/>
      <c r="V228" s="2"/>
      <c r="W228" s="2"/>
      <c r="X228" s="2"/>
      <c r="Y228" s="3"/>
      <c r="Z228" s="3"/>
      <c r="AA228" s="2"/>
      <c r="AB228" s="2"/>
      <c r="AC228" s="2"/>
      <c r="AD228" s="2"/>
      <c r="AE228" s="2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4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</row>
    <row r="229" ht="15.75">
      <c r="A229" s="3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2"/>
      <c r="T229" s="2"/>
      <c r="U229" s="2"/>
      <c r="V229" s="2"/>
      <c r="W229" s="2"/>
      <c r="X229" s="2"/>
      <c r="Y229" s="3"/>
      <c r="Z229" s="3"/>
      <c r="AA229" s="2"/>
      <c r="AB229" s="2"/>
      <c r="AC229" s="2"/>
      <c r="AD229" s="2"/>
      <c r="AE229" s="2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4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</row>
    <row r="230" ht="15.75">
      <c r="A230" s="3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2"/>
      <c r="T230" s="2"/>
      <c r="U230" s="2"/>
      <c r="V230" s="2"/>
      <c r="W230" s="2"/>
      <c r="X230" s="2"/>
      <c r="Y230" s="3"/>
      <c r="Z230" s="3"/>
      <c r="AA230" s="2"/>
      <c r="AB230" s="2"/>
      <c r="AC230" s="2"/>
      <c r="AD230" s="2"/>
      <c r="AE230" s="2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4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</row>
    <row r="231" ht="15.75">
      <c r="A231" s="3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2"/>
      <c r="T231" s="2"/>
      <c r="U231" s="2"/>
      <c r="V231" s="2"/>
      <c r="W231" s="2"/>
      <c r="X231" s="2"/>
      <c r="Y231" s="3"/>
      <c r="Z231" s="3"/>
      <c r="AA231" s="2"/>
      <c r="AB231" s="2"/>
      <c r="AC231" s="2"/>
      <c r="AD231" s="2"/>
      <c r="AE231" s="2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4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</row>
    <row r="232" ht="15.75">
      <c r="A232" s="3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2"/>
      <c r="T232" s="2"/>
      <c r="U232" s="2"/>
      <c r="V232" s="2"/>
      <c r="W232" s="2"/>
      <c r="X232" s="2"/>
      <c r="Y232" s="3"/>
      <c r="Z232" s="3"/>
      <c r="AA232" s="2"/>
      <c r="AB232" s="2"/>
      <c r="AC232" s="2"/>
      <c r="AD232" s="2"/>
      <c r="AE232" s="2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4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</row>
    <row r="233" ht="15.75">
      <c r="A233" s="3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2"/>
      <c r="T233" s="2"/>
      <c r="U233" s="2"/>
      <c r="V233" s="2"/>
      <c r="W233" s="2"/>
      <c r="X233" s="2"/>
      <c r="Y233" s="3"/>
      <c r="Z233" s="3"/>
      <c r="AA233" s="2"/>
      <c r="AB233" s="2"/>
      <c r="AC233" s="2"/>
      <c r="AD233" s="2"/>
      <c r="AE233" s="2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4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</row>
    <row r="234" ht="15.75">
      <c r="A234" s="3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2"/>
      <c r="T234" s="2"/>
      <c r="U234" s="2"/>
      <c r="V234" s="2"/>
      <c r="W234" s="2"/>
      <c r="X234" s="2"/>
      <c r="Y234" s="3"/>
      <c r="Z234" s="3"/>
      <c r="AA234" s="2"/>
      <c r="AB234" s="2"/>
      <c r="AC234" s="2"/>
      <c r="AD234" s="2"/>
      <c r="AE234" s="2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4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</row>
    <row r="235" ht="15.75">
      <c r="A235" s="3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2"/>
      <c r="T235" s="2"/>
      <c r="U235" s="2"/>
      <c r="V235" s="2"/>
      <c r="W235" s="2"/>
      <c r="X235" s="2"/>
      <c r="Y235" s="3"/>
      <c r="Z235" s="3"/>
      <c r="AA235" s="2"/>
      <c r="AB235" s="2"/>
      <c r="AC235" s="2"/>
      <c r="AD235" s="2"/>
      <c r="AE235" s="2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4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</row>
    <row r="236" ht="15.75">
      <c r="A236" s="3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2"/>
      <c r="T236" s="2"/>
      <c r="U236" s="2"/>
      <c r="V236" s="2"/>
      <c r="W236" s="2"/>
      <c r="X236" s="2"/>
      <c r="Y236" s="3"/>
      <c r="Z236" s="3"/>
      <c r="AA236" s="2"/>
      <c r="AB236" s="2"/>
      <c r="AC236" s="2"/>
      <c r="AD236" s="2"/>
      <c r="AE236" s="2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4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</row>
    <row r="237" ht="15.75">
      <c r="A237" s="3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2"/>
      <c r="T237" s="2"/>
      <c r="U237" s="2"/>
      <c r="V237" s="2"/>
      <c r="W237" s="2"/>
      <c r="X237" s="2"/>
      <c r="Y237" s="3"/>
      <c r="Z237" s="3"/>
      <c r="AA237" s="2"/>
      <c r="AB237" s="2"/>
      <c r="AC237" s="2"/>
      <c r="AD237" s="2"/>
      <c r="AE237" s="2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4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</row>
    <row r="238" ht="15.75">
      <c r="A238" s="3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2"/>
      <c r="T238" s="2"/>
      <c r="U238" s="2"/>
      <c r="V238" s="2"/>
      <c r="W238" s="2"/>
      <c r="X238" s="2"/>
      <c r="Y238" s="3"/>
      <c r="Z238" s="3"/>
      <c r="AA238" s="2"/>
      <c r="AB238" s="2"/>
      <c r="AC238" s="2"/>
      <c r="AD238" s="2"/>
      <c r="AE238" s="2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4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</row>
    <row r="239" ht="15.75">
      <c r="A239" s="3"/>
      <c r="B239" s="2"/>
      <c r="C239" s="2"/>
      <c r="D239" s="2"/>
      <c r="E239" s="2"/>
      <c r="F239" s="2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2"/>
      <c r="T239" s="2"/>
      <c r="U239" s="2"/>
      <c r="V239" s="2"/>
      <c r="W239" s="2"/>
      <c r="X239" s="2"/>
      <c r="Y239" s="3"/>
      <c r="Z239" s="3"/>
      <c r="AA239" s="2"/>
      <c r="AB239" s="2"/>
      <c r="AC239" s="2"/>
      <c r="AD239" s="2"/>
      <c r="AE239" s="2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4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</row>
    <row r="240" ht="15.75">
      <c r="A240" s="3"/>
      <c r="B240" s="2"/>
      <c r="C240" s="2"/>
      <c r="D240" s="2"/>
      <c r="E240" s="2"/>
      <c r="F240" s="2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2"/>
      <c r="T240" s="2"/>
      <c r="U240" s="2"/>
      <c r="V240" s="2"/>
      <c r="W240" s="2"/>
      <c r="X240" s="2"/>
      <c r="Y240" s="3"/>
      <c r="Z240" s="3"/>
      <c r="AA240" s="2"/>
      <c r="AB240" s="2"/>
      <c r="AC240" s="2"/>
      <c r="AD240" s="2"/>
      <c r="AE240" s="2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4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</row>
    <row r="241" ht="15.75">
      <c r="A241" s="3"/>
      <c r="B241" s="2"/>
      <c r="C241" s="2"/>
      <c r="D241" s="2"/>
      <c r="E241" s="2"/>
      <c r="F241" s="2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2"/>
      <c r="T241" s="2"/>
      <c r="U241" s="2"/>
      <c r="V241" s="2"/>
      <c r="W241" s="2"/>
      <c r="X241" s="2"/>
      <c r="Y241" s="3"/>
      <c r="Z241" s="3"/>
      <c r="AA241" s="2"/>
      <c r="AB241" s="2"/>
      <c r="AC241" s="2"/>
      <c r="AD241" s="2"/>
      <c r="AE241" s="2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4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</row>
    <row r="242" ht="15.75">
      <c r="A242" s="3"/>
      <c r="B242" s="2"/>
      <c r="C242" s="2"/>
      <c r="D242" s="2"/>
      <c r="E242" s="2"/>
      <c r="F242" s="2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2"/>
      <c r="T242" s="2"/>
      <c r="U242" s="2"/>
      <c r="V242" s="2"/>
      <c r="W242" s="2"/>
      <c r="X242" s="2"/>
      <c r="Y242" s="3"/>
      <c r="Z242" s="3"/>
      <c r="AA242" s="2"/>
      <c r="AB242" s="2"/>
      <c r="AC242" s="2"/>
      <c r="AD242" s="2"/>
      <c r="AE242" s="2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4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</row>
    <row r="243" ht="15.75">
      <c r="A243" s="3"/>
      <c r="B243" s="2"/>
      <c r="C243" s="2"/>
      <c r="D243" s="2"/>
      <c r="E243" s="2"/>
      <c r="F243" s="2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2"/>
      <c r="T243" s="2"/>
      <c r="U243" s="2"/>
      <c r="V243" s="2"/>
      <c r="W243" s="2"/>
      <c r="X243" s="2"/>
      <c r="Y243" s="3"/>
      <c r="Z243" s="3"/>
      <c r="AA243" s="2"/>
      <c r="AB243" s="2"/>
      <c r="AC243" s="2"/>
      <c r="AD243" s="2"/>
      <c r="AE243" s="2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4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</row>
    <row r="244" ht="15.75">
      <c r="A244" s="3"/>
      <c r="B244" s="2"/>
      <c r="C244" s="2"/>
      <c r="D244" s="2"/>
      <c r="E244" s="2"/>
      <c r="F244" s="2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2"/>
      <c r="T244" s="2"/>
      <c r="U244" s="2"/>
      <c r="V244" s="2"/>
      <c r="W244" s="2"/>
      <c r="X244" s="2"/>
      <c r="Y244" s="3"/>
      <c r="Z244" s="3"/>
      <c r="AA244" s="2"/>
      <c r="AB244" s="2"/>
      <c r="AC244" s="2"/>
      <c r="AD244" s="2"/>
      <c r="AE244" s="2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4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</row>
    <row r="245" ht="15.75">
      <c r="A245" s="3"/>
      <c r="B245" s="2"/>
      <c r="C245" s="2"/>
      <c r="D245" s="2"/>
      <c r="E245" s="2"/>
      <c r="F245" s="2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2"/>
      <c r="T245" s="2"/>
      <c r="U245" s="2"/>
      <c r="V245" s="2"/>
      <c r="W245" s="2"/>
      <c r="X245" s="2"/>
      <c r="Y245" s="3"/>
      <c r="Z245" s="3"/>
      <c r="AA245" s="2"/>
      <c r="AB245" s="2"/>
      <c r="AC245" s="2"/>
      <c r="AD245" s="2"/>
      <c r="AE245" s="2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4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</row>
    <row r="246" ht="15.75">
      <c r="A246" s="3"/>
      <c r="B246" s="2"/>
      <c r="C246" s="2"/>
      <c r="D246" s="2"/>
      <c r="E246" s="2"/>
      <c r="F246" s="2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2"/>
      <c r="T246" s="2"/>
      <c r="U246" s="2"/>
      <c r="V246" s="2"/>
      <c r="W246" s="2"/>
      <c r="X246" s="2"/>
      <c r="Y246" s="3"/>
      <c r="Z246" s="3"/>
      <c r="AA246" s="2"/>
      <c r="AB246" s="2"/>
      <c r="AC246" s="2"/>
      <c r="AD246" s="2"/>
      <c r="AE246" s="2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4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</row>
    <row r="247" ht="15.75">
      <c r="A247" s="3"/>
      <c r="B247" s="2"/>
      <c r="C247" s="2"/>
      <c r="D247" s="2"/>
      <c r="E247" s="2"/>
      <c r="F247" s="2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2"/>
      <c r="T247" s="2"/>
      <c r="U247" s="2"/>
      <c r="V247" s="2"/>
      <c r="W247" s="2"/>
      <c r="X247" s="2"/>
      <c r="Y247" s="3"/>
      <c r="Z247" s="3"/>
      <c r="AA247" s="2"/>
      <c r="AB247" s="2"/>
      <c r="AC247" s="2"/>
      <c r="AD247" s="2"/>
      <c r="AE247" s="2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4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</row>
    <row r="248" ht="15.75">
      <c r="A248" s="3"/>
      <c r="B248" s="2"/>
      <c r="C248" s="2"/>
      <c r="D248" s="2"/>
      <c r="E248" s="2"/>
      <c r="F248" s="2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2"/>
      <c r="T248" s="2"/>
      <c r="U248" s="2"/>
      <c r="V248" s="2"/>
      <c r="W248" s="2"/>
      <c r="X248" s="2"/>
      <c r="Y248" s="3"/>
      <c r="Z248" s="3"/>
      <c r="AA248" s="2"/>
      <c r="AB248" s="2"/>
      <c r="AC248" s="2"/>
      <c r="AD248" s="2"/>
      <c r="AE248" s="2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4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</row>
    <row r="249" ht="15.75">
      <c r="A249" s="3"/>
      <c r="B249" s="2"/>
      <c r="C249" s="2"/>
      <c r="D249" s="2"/>
      <c r="E249" s="2"/>
      <c r="F249" s="2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2"/>
      <c r="T249" s="2"/>
      <c r="U249" s="2"/>
      <c r="V249" s="2"/>
      <c r="W249" s="2"/>
      <c r="X249" s="2"/>
      <c r="Y249" s="3"/>
      <c r="Z249" s="3"/>
      <c r="AA249" s="2"/>
      <c r="AB249" s="2"/>
      <c r="AC249" s="2"/>
      <c r="AD249" s="2"/>
      <c r="AE249" s="2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4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</row>
    <row r="250" ht="15.75">
      <c r="A250" s="3"/>
      <c r="B250" s="2"/>
      <c r="C250" s="2"/>
      <c r="D250" s="2"/>
      <c r="E250" s="2"/>
      <c r="F250" s="2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2"/>
      <c r="T250" s="2"/>
      <c r="U250" s="2"/>
      <c r="V250" s="2"/>
      <c r="W250" s="2"/>
      <c r="X250" s="2"/>
      <c r="Y250" s="3"/>
      <c r="Z250" s="3"/>
      <c r="AA250" s="2"/>
      <c r="AB250" s="2"/>
      <c r="AC250" s="2"/>
      <c r="AD250" s="2"/>
      <c r="AE250" s="2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4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</row>
    <row r="251" ht="15.75">
      <c r="A251" s="3"/>
      <c r="B251" s="2"/>
      <c r="C251" s="2"/>
      <c r="D251" s="2"/>
      <c r="E251" s="2"/>
      <c r="F251" s="2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2"/>
      <c r="T251" s="2"/>
      <c r="U251" s="2"/>
      <c r="V251" s="2"/>
      <c r="W251" s="2"/>
      <c r="X251" s="2"/>
      <c r="Y251" s="3"/>
      <c r="Z251" s="3"/>
      <c r="AA251" s="2"/>
      <c r="AB251" s="2"/>
      <c r="AC251" s="2"/>
      <c r="AD251" s="2"/>
      <c r="AE251" s="2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4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</row>
    <row r="252" ht="15.75">
      <c r="A252" s="3"/>
      <c r="B252" s="2"/>
      <c r="C252" s="2"/>
      <c r="D252" s="2"/>
      <c r="E252" s="2"/>
      <c r="F252" s="2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2"/>
      <c r="T252" s="2"/>
      <c r="U252" s="2"/>
      <c r="V252" s="2"/>
      <c r="W252" s="2"/>
      <c r="X252" s="2"/>
      <c r="Y252" s="3"/>
      <c r="Z252" s="3"/>
      <c r="AA252" s="2"/>
      <c r="AB252" s="2"/>
      <c r="AC252" s="2"/>
      <c r="AD252" s="2"/>
      <c r="AE252" s="2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4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</row>
    <row r="253" ht="15.75">
      <c r="A253" s="3"/>
      <c r="B253" s="2"/>
      <c r="C253" s="2"/>
      <c r="D253" s="2"/>
      <c r="E253" s="2"/>
      <c r="F253" s="2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2"/>
      <c r="T253" s="2"/>
      <c r="U253" s="2"/>
      <c r="V253" s="2"/>
      <c r="W253" s="2"/>
      <c r="X253" s="2"/>
      <c r="Y253" s="3"/>
      <c r="Z253" s="3"/>
      <c r="AA253" s="2"/>
      <c r="AB253" s="2"/>
      <c r="AC253" s="2"/>
      <c r="AD253" s="2"/>
      <c r="AE253" s="2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4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</row>
    <row r="254" ht="15.75">
      <c r="A254" s="3"/>
      <c r="B254" s="2"/>
      <c r="C254" s="2"/>
      <c r="D254" s="2"/>
      <c r="E254" s="2"/>
      <c r="F254" s="2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2"/>
      <c r="T254" s="2"/>
      <c r="U254" s="2"/>
      <c r="V254" s="2"/>
      <c r="W254" s="2"/>
      <c r="X254" s="2"/>
      <c r="Y254" s="3"/>
      <c r="Z254" s="3"/>
      <c r="AA254" s="2"/>
      <c r="AB254" s="2"/>
      <c r="AC254" s="2"/>
      <c r="AD254" s="2"/>
      <c r="AE254" s="2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4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</row>
    <row r="255" ht="15.75">
      <c r="A255" s="3"/>
      <c r="B255" s="2"/>
      <c r="C255" s="2"/>
      <c r="D255" s="2"/>
      <c r="E255" s="2"/>
      <c r="F255" s="2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2"/>
      <c r="T255" s="2"/>
      <c r="U255" s="2"/>
      <c r="V255" s="2"/>
      <c r="W255" s="2"/>
      <c r="X255" s="2"/>
      <c r="Y255" s="3"/>
      <c r="Z255" s="3"/>
      <c r="AA255" s="2"/>
      <c r="AB255" s="2"/>
      <c r="AC255" s="2"/>
      <c r="AD255" s="2"/>
      <c r="AE255" s="2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4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</row>
    <row r="256" ht="15.75">
      <c r="A256" s="3"/>
      <c r="B256" s="2"/>
      <c r="C256" s="2"/>
      <c r="D256" s="2"/>
      <c r="E256" s="2"/>
      <c r="F256" s="2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2"/>
      <c r="T256" s="2"/>
      <c r="U256" s="2"/>
      <c r="V256" s="2"/>
      <c r="W256" s="2"/>
      <c r="X256" s="2"/>
      <c r="Y256" s="3"/>
      <c r="Z256" s="3"/>
      <c r="AA256" s="2"/>
      <c r="AB256" s="2"/>
      <c r="AC256" s="2"/>
      <c r="AD256" s="2"/>
      <c r="AE256" s="2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4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</row>
    <row r="257" ht="15.75">
      <c r="A257" s="3"/>
      <c r="B257" s="2"/>
      <c r="C257" s="2"/>
      <c r="D257" s="2"/>
      <c r="E257" s="2"/>
      <c r="F257" s="2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2"/>
      <c r="T257" s="2"/>
      <c r="U257" s="2"/>
      <c r="V257" s="2"/>
      <c r="W257" s="2"/>
      <c r="X257" s="2"/>
      <c r="Y257" s="3"/>
      <c r="Z257" s="3"/>
      <c r="AA257" s="2"/>
      <c r="AB257" s="2"/>
      <c r="AC257" s="2"/>
      <c r="AD257" s="2"/>
      <c r="AE257" s="2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4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</row>
    <row r="258" ht="15.75">
      <c r="A258" s="3"/>
      <c r="B258" s="2"/>
      <c r="C258" s="2"/>
      <c r="D258" s="2"/>
      <c r="E258" s="2"/>
      <c r="F258" s="2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2"/>
      <c r="T258" s="2"/>
      <c r="U258" s="2"/>
      <c r="V258" s="2"/>
      <c r="W258" s="2"/>
      <c r="X258" s="2"/>
      <c r="Y258" s="3"/>
      <c r="Z258" s="3"/>
      <c r="AA258" s="2"/>
      <c r="AB258" s="2"/>
      <c r="AC258" s="2"/>
      <c r="AD258" s="2"/>
      <c r="AE258" s="2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4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</row>
    <row r="259" ht="15.75">
      <c r="A259" s="3"/>
      <c r="B259" s="2"/>
      <c r="C259" s="2"/>
      <c r="D259" s="2"/>
      <c r="E259" s="2"/>
      <c r="F259" s="2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2"/>
      <c r="T259" s="2"/>
      <c r="U259" s="2"/>
      <c r="V259" s="2"/>
      <c r="W259" s="2"/>
      <c r="X259" s="2"/>
      <c r="Y259" s="3"/>
      <c r="Z259" s="3"/>
      <c r="AA259" s="2"/>
      <c r="AB259" s="2"/>
      <c r="AC259" s="2"/>
      <c r="AD259" s="2"/>
      <c r="AE259" s="2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4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</row>
    <row r="260" ht="15.75">
      <c r="A260" s="3"/>
      <c r="B260" s="2"/>
      <c r="C260" s="2"/>
      <c r="D260" s="2"/>
      <c r="E260" s="2"/>
      <c r="F260" s="2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2"/>
      <c r="T260" s="2"/>
      <c r="U260" s="2"/>
      <c r="V260" s="2"/>
      <c r="W260" s="2"/>
      <c r="X260" s="2"/>
      <c r="Y260" s="3"/>
      <c r="Z260" s="3"/>
      <c r="AA260" s="2"/>
      <c r="AB260" s="2"/>
      <c r="AC260" s="2"/>
      <c r="AD260" s="2"/>
      <c r="AE260" s="2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4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</row>
    <row r="261" ht="15.75">
      <c r="A261" s="3"/>
      <c r="B261" s="2"/>
      <c r="C261" s="2"/>
      <c r="D261" s="2"/>
      <c r="E261" s="2"/>
      <c r="F261" s="2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2"/>
      <c r="T261" s="2"/>
      <c r="U261" s="2"/>
      <c r="V261" s="2"/>
      <c r="W261" s="2"/>
      <c r="X261" s="2"/>
      <c r="Y261" s="3"/>
      <c r="Z261" s="3"/>
      <c r="AA261" s="2"/>
      <c r="AB261" s="2"/>
      <c r="AC261" s="2"/>
      <c r="AD261" s="2"/>
      <c r="AE261" s="2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4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</row>
    <row r="262" ht="15.75">
      <c r="A262" s="3"/>
      <c r="B262" s="2"/>
      <c r="C262" s="2"/>
      <c r="D262" s="2"/>
      <c r="E262" s="2"/>
      <c r="F262" s="2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2"/>
      <c r="T262" s="2"/>
      <c r="U262" s="2"/>
      <c r="V262" s="2"/>
      <c r="W262" s="2"/>
      <c r="X262" s="2"/>
      <c r="Y262" s="3"/>
      <c r="Z262" s="3"/>
      <c r="AA262" s="2"/>
      <c r="AB262" s="2"/>
      <c r="AC262" s="2"/>
      <c r="AD262" s="2"/>
      <c r="AE262" s="2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4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</row>
    <row r="263" ht="15.75">
      <c r="A263" s="3"/>
      <c r="B263" s="2"/>
      <c r="C263" s="2"/>
      <c r="D263" s="2"/>
      <c r="E263" s="2"/>
      <c r="F263" s="2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2"/>
      <c r="T263" s="2"/>
      <c r="U263" s="2"/>
      <c r="V263" s="2"/>
      <c r="W263" s="2"/>
      <c r="X263" s="2"/>
      <c r="Y263" s="3"/>
      <c r="Z263" s="3"/>
      <c r="AA263" s="2"/>
      <c r="AB263" s="2"/>
      <c r="AC263" s="2"/>
      <c r="AD263" s="2"/>
      <c r="AE263" s="2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4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</row>
    <row r="264" ht="15.75">
      <c r="A264" s="3"/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2"/>
      <c r="T264" s="2"/>
      <c r="U264" s="2"/>
      <c r="V264" s="2"/>
      <c r="W264" s="2"/>
      <c r="X264" s="2"/>
      <c r="Y264" s="3"/>
      <c r="Z264" s="3"/>
      <c r="AA264" s="2"/>
      <c r="AB264" s="2"/>
      <c r="AC264" s="2"/>
      <c r="AD264" s="2"/>
      <c r="AE264" s="2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4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</row>
    <row r="265" ht="15.75">
      <c r="A265" s="3"/>
      <c r="B265" s="2"/>
      <c r="C265" s="2"/>
      <c r="D265" s="2"/>
      <c r="E265" s="2"/>
      <c r="F265" s="2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2"/>
      <c r="T265" s="2"/>
      <c r="U265" s="2"/>
      <c r="V265" s="2"/>
      <c r="W265" s="2"/>
      <c r="X265" s="2"/>
      <c r="Y265" s="3"/>
      <c r="Z265" s="3"/>
      <c r="AA265" s="2"/>
      <c r="AB265" s="2"/>
      <c r="AC265" s="2"/>
      <c r="AD265" s="2"/>
      <c r="AE265" s="2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4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</row>
    <row r="266" ht="15.75">
      <c r="A266" s="3"/>
      <c r="B266" s="2"/>
      <c r="C266" s="2"/>
      <c r="D266" s="2"/>
      <c r="E266" s="2"/>
      <c r="F266" s="2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2"/>
      <c r="T266" s="2"/>
      <c r="U266" s="2"/>
      <c r="V266" s="2"/>
      <c r="W266" s="2"/>
      <c r="X266" s="2"/>
      <c r="Y266" s="3"/>
      <c r="Z266" s="3"/>
      <c r="AA266" s="2"/>
      <c r="AB266" s="2"/>
      <c r="AC266" s="2"/>
      <c r="AD266" s="2"/>
      <c r="AE266" s="2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4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</row>
    <row r="267" ht="15.75">
      <c r="A267" s="3"/>
      <c r="B267" s="2"/>
      <c r="C267" s="2"/>
      <c r="D267" s="2"/>
      <c r="E267" s="2"/>
      <c r="F267" s="2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2"/>
      <c r="T267" s="2"/>
      <c r="U267" s="2"/>
      <c r="V267" s="2"/>
      <c r="W267" s="2"/>
      <c r="X267" s="2"/>
      <c r="Y267" s="3"/>
      <c r="Z267" s="3"/>
      <c r="AA267" s="2"/>
      <c r="AB267" s="2"/>
      <c r="AC267" s="2"/>
      <c r="AD267" s="2"/>
      <c r="AE267" s="2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4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</row>
    <row r="268" ht="15.75">
      <c r="A268" s="3"/>
      <c r="B268" s="2"/>
      <c r="C268" s="2"/>
      <c r="D268" s="2"/>
      <c r="E268" s="2"/>
      <c r="F268" s="2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2"/>
      <c r="T268" s="2"/>
      <c r="U268" s="2"/>
      <c r="V268" s="2"/>
      <c r="W268" s="2"/>
      <c r="X268" s="2"/>
      <c r="Y268" s="3"/>
      <c r="Z268" s="3"/>
      <c r="AA268" s="2"/>
      <c r="AB268" s="2"/>
      <c r="AC268" s="2"/>
      <c r="AD268" s="2"/>
      <c r="AE268" s="2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4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</row>
    <row r="269" ht="15.75">
      <c r="A269" s="3"/>
      <c r="B269" s="2"/>
      <c r="C269" s="2"/>
      <c r="D269" s="2"/>
      <c r="E269" s="2"/>
      <c r="F269" s="2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2"/>
      <c r="T269" s="2"/>
      <c r="U269" s="2"/>
      <c r="V269" s="2"/>
      <c r="W269" s="2"/>
      <c r="X269" s="2"/>
      <c r="Y269" s="3"/>
      <c r="Z269" s="3"/>
      <c r="AA269" s="2"/>
      <c r="AB269" s="2"/>
      <c r="AC269" s="2"/>
      <c r="AD269" s="2"/>
      <c r="AE269" s="2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4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</row>
    <row r="270" ht="15.75">
      <c r="A270" s="3"/>
      <c r="B270" s="2"/>
      <c r="C270" s="2"/>
      <c r="D270" s="2"/>
      <c r="E270" s="2"/>
      <c r="F270" s="2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2"/>
      <c r="T270" s="2"/>
      <c r="U270" s="2"/>
      <c r="V270" s="2"/>
      <c r="W270" s="2"/>
      <c r="X270" s="2"/>
      <c r="Y270" s="3"/>
      <c r="Z270" s="3"/>
      <c r="AA270" s="2"/>
      <c r="AB270" s="2"/>
      <c r="AC270" s="2"/>
      <c r="AD270" s="2"/>
      <c r="AE270" s="2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4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</row>
    <row r="271" ht="15.75">
      <c r="A271" s="3"/>
      <c r="B271" s="2"/>
      <c r="C271" s="2"/>
      <c r="D271" s="2"/>
      <c r="E271" s="2"/>
      <c r="F271" s="2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2"/>
      <c r="T271" s="2"/>
      <c r="U271" s="2"/>
      <c r="V271" s="2"/>
      <c r="W271" s="2"/>
      <c r="X271" s="2"/>
      <c r="Y271" s="3"/>
      <c r="Z271" s="3"/>
      <c r="AA271" s="2"/>
      <c r="AB271" s="2"/>
      <c r="AC271" s="2"/>
      <c r="AD271" s="2"/>
      <c r="AE271" s="2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4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</row>
    <row r="272" ht="15.75">
      <c r="A272" s="3"/>
      <c r="B272" s="2"/>
      <c r="C272" s="2"/>
      <c r="D272" s="2"/>
      <c r="E272" s="2"/>
      <c r="F272" s="2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2"/>
      <c r="T272" s="2"/>
      <c r="U272" s="2"/>
      <c r="V272" s="2"/>
      <c r="W272" s="2"/>
      <c r="X272" s="2"/>
      <c r="Y272" s="3"/>
      <c r="Z272" s="3"/>
      <c r="AA272" s="2"/>
      <c r="AB272" s="2"/>
      <c r="AC272" s="2"/>
      <c r="AD272" s="2"/>
      <c r="AE272" s="2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4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</row>
    <row r="273" ht="15.75">
      <c r="A273" s="3"/>
      <c r="B273" s="2"/>
      <c r="C273" s="2"/>
      <c r="D273" s="2"/>
      <c r="E273" s="2"/>
      <c r="F273" s="2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2"/>
      <c r="T273" s="2"/>
      <c r="U273" s="2"/>
      <c r="V273" s="2"/>
      <c r="W273" s="2"/>
      <c r="X273" s="2"/>
      <c r="Y273" s="3"/>
      <c r="Z273" s="3"/>
      <c r="AA273" s="2"/>
      <c r="AB273" s="2"/>
      <c r="AC273" s="2"/>
      <c r="AD273" s="2"/>
      <c r="AE273" s="2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4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</row>
    <row r="274" ht="15.75">
      <c r="A274" s="3"/>
      <c r="B274" s="2"/>
      <c r="C274" s="2"/>
      <c r="D274" s="2"/>
      <c r="E274" s="2"/>
      <c r="F274" s="2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2"/>
      <c r="T274" s="2"/>
      <c r="U274" s="2"/>
      <c r="V274" s="2"/>
      <c r="W274" s="2"/>
      <c r="X274" s="2"/>
      <c r="Y274" s="3"/>
      <c r="Z274" s="3"/>
      <c r="AA274" s="2"/>
      <c r="AB274" s="2"/>
      <c r="AC274" s="2"/>
      <c r="AD274" s="2"/>
      <c r="AE274" s="2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4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</row>
    <row r="275" ht="15.75">
      <c r="A275" s="3"/>
      <c r="B275" s="2"/>
      <c r="C275" s="2"/>
      <c r="D275" s="2"/>
      <c r="E275" s="2"/>
      <c r="F275" s="2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2"/>
      <c r="T275" s="2"/>
      <c r="U275" s="2"/>
      <c r="V275" s="2"/>
      <c r="W275" s="2"/>
      <c r="X275" s="2"/>
      <c r="Y275" s="3"/>
      <c r="Z275" s="3"/>
      <c r="AA275" s="2"/>
      <c r="AB275" s="2"/>
      <c r="AC275" s="2"/>
      <c r="AD275" s="2"/>
      <c r="AE275" s="2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4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</row>
    <row r="276" ht="15.75">
      <c r="A276" s="3"/>
      <c r="B276" s="2"/>
      <c r="C276" s="2"/>
      <c r="D276" s="2"/>
      <c r="E276" s="2"/>
      <c r="F276" s="2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2"/>
      <c r="T276" s="2"/>
      <c r="U276" s="2"/>
      <c r="V276" s="2"/>
      <c r="W276" s="2"/>
      <c r="X276" s="2"/>
      <c r="Y276" s="3"/>
      <c r="Z276" s="3"/>
      <c r="AA276" s="2"/>
      <c r="AB276" s="2"/>
      <c r="AC276" s="2"/>
      <c r="AD276" s="2"/>
      <c r="AE276" s="2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4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</row>
    <row r="277" ht="15.75">
      <c r="A277" s="3"/>
      <c r="B277" s="2"/>
      <c r="C277" s="2"/>
      <c r="D277" s="2"/>
      <c r="E277" s="2"/>
      <c r="F277" s="2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2"/>
      <c r="T277" s="2"/>
      <c r="U277" s="2"/>
      <c r="V277" s="2"/>
      <c r="W277" s="2"/>
      <c r="X277" s="2"/>
      <c r="Y277" s="3"/>
      <c r="Z277" s="3"/>
      <c r="AA277" s="2"/>
      <c r="AB277" s="2"/>
      <c r="AC277" s="2"/>
      <c r="AD277" s="2"/>
      <c r="AE277" s="2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4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</row>
    <row r="278" ht="15.75">
      <c r="A278" s="3"/>
      <c r="B278" s="2"/>
      <c r="C278" s="2"/>
      <c r="D278" s="2"/>
      <c r="E278" s="2"/>
      <c r="F278" s="2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2"/>
      <c r="T278" s="2"/>
      <c r="U278" s="2"/>
      <c r="V278" s="2"/>
      <c r="W278" s="2"/>
      <c r="X278" s="2"/>
      <c r="Y278" s="3"/>
      <c r="Z278" s="3"/>
      <c r="AA278" s="2"/>
      <c r="AB278" s="2"/>
      <c r="AC278" s="2"/>
      <c r="AD278" s="2"/>
      <c r="AE278" s="2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4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</row>
    <row r="279" ht="15.75">
      <c r="A279" s="3"/>
      <c r="B279" s="2"/>
      <c r="C279" s="2"/>
      <c r="D279" s="2"/>
      <c r="E279" s="2"/>
      <c r="F279" s="2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2"/>
      <c r="T279" s="2"/>
      <c r="U279" s="2"/>
      <c r="V279" s="2"/>
      <c r="W279" s="2"/>
      <c r="X279" s="2"/>
      <c r="Y279" s="3"/>
      <c r="Z279" s="3"/>
      <c r="AA279" s="2"/>
      <c r="AB279" s="2"/>
      <c r="AC279" s="2"/>
      <c r="AD279" s="2"/>
      <c r="AE279" s="2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4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</row>
    <row r="280" ht="15.75">
      <c r="A280" s="3"/>
      <c r="B280" s="2"/>
      <c r="C280" s="2"/>
      <c r="D280" s="2"/>
      <c r="E280" s="2"/>
      <c r="F280" s="2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2"/>
      <c r="T280" s="2"/>
      <c r="U280" s="2"/>
      <c r="V280" s="2"/>
      <c r="W280" s="2"/>
      <c r="X280" s="2"/>
      <c r="Y280" s="3"/>
      <c r="Z280" s="3"/>
      <c r="AA280" s="2"/>
      <c r="AB280" s="2"/>
      <c r="AC280" s="2"/>
      <c r="AD280" s="2"/>
      <c r="AE280" s="2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4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</row>
    <row r="281" ht="15.75">
      <c r="A281" s="3"/>
      <c r="B281" s="2"/>
      <c r="C281" s="2"/>
      <c r="D281" s="2"/>
      <c r="E281" s="2"/>
      <c r="F281" s="2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2"/>
      <c r="T281" s="2"/>
      <c r="U281" s="2"/>
      <c r="V281" s="2"/>
      <c r="W281" s="2"/>
      <c r="X281" s="2"/>
      <c r="Y281" s="3"/>
      <c r="Z281" s="3"/>
      <c r="AA281" s="2"/>
      <c r="AB281" s="2"/>
      <c r="AC281" s="2"/>
      <c r="AD281" s="2"/>
      <c r="AE281" s="2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4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</row>
    <row r="282" ht="15.75">
      <c r="A282" s="3"/>
      <c r="B282" s="2"/>
      <c r="C282" s="2"/>
      <c r="D282" s="2"/>
      <c r="E282" s="2"/>
      <c r="F282" s="2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2"/>
      <c r="T282" s="2"/>
      <c r="U282" s="2"/>
      <c r="V282" s="2"/>
      <c r="W282" s="2"/>
      <c r="X282" s="2"/>
      <c r="Y282" s="3"/>
      <c r="Z282" s="3"/>
      <c r="AA282" s="2"/>
      <c r="AB282" s="2"/>
      <c r="AC282" s="2"/>
      <c r="AD282" s="2"/>
      <c r="AE282" s="2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4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</row>
    <row r="283" ht="15.75">
      <c r="A283" s="3"/>
      <c r="B283" s="2"/>
      <c r="C283" s="2"/>
      <c r="D283" s="2"/>
      <c r="E283" s="2"/>
      <c r="F283" s="2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2"/>
      <c r="T283" s="2"/>
      <c r="U283" s="2"/>
      <c r="V283" s="2"/>
      <c r="W283" s="2"/>
      <c r="X283" s="2"/>
      <c r="Y283" s="3"/>
      <c r="Z283" s="3"/>
      <c r="AA283" s="2"/>
      <c r="AB283" s="2"/>
      <c r="AC283" s="2"/>
      <c r="AD283" s="2"/>
      <c r="AE283" s="2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4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</row>
    <row r="284" ht="15.75">
      <c r="A284" s="3"/>
      <c r="B284" s="2"/>
      <c r="C284" s="2"/>
      <c r="D284" s="2"/>
      <c r="E284" s="2"/>
      <c r="F284" s="2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2"/>
      <c r="T284" s="2"/>
      <c r="U284" s="2"/>
      <c r="V284" s="2"/>
      <c r="W284" s="2"/>
      <c r="X284" s="2"/>
      <c r="Y284" s="3"/>
      <c r="Z284" s="3"/>
      <c r="AA284" s="2"/>
      <c r="AB284" s="2"/>
      <c r="AC284" s="2"/>
      <c r="AD284" s="2"/>
      <c r="AE284" s="2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4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</row>
    <row r="285" ht="15.75">
      <c r="A285" s="3"/>
      <c r="B285" s="2"/>
      <c r="C285" s="2"/>
      <c r="D285" s="2"/>
      <c r="E285" s="2"/>
      <c r="F285" s="2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2"/>
      <c r="T285" s="2"/>
      <c r="U285" s="2"/>
      <c r="V285" s="2"/>
      <c r="W285" s="2"/>
      <c r="X285" s="2"/>
      <c r="Y285" s="3"/>
      <c r="Z285" s="3"/>
      <c r="AA285" s="2"/>
      <c r="AB285" s="2"/>
      <c r="AC285" s="2"/>
      <c r="AD285" s="2"/>
      <c r="AE285" s="2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4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</row>
    <row r="286" ht="15.75">
      <c r="A286" s="3"/>
      <c r="B286" s="2"/>
      <c r="C286" s="2"/>
      <c r="D286" s="2"/>
      <c r="E286" s="2"/>
      <c r="F286" s="2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2"/>
      <c r="T286" s="2"/>
      <c r="U286" s="2"/>
      <c r="V286" s="2"/>
      <c r="W286" s="2"/>
      <c r="X286" s="2"/>
      <c r="Y286" s="3"/>
      <c r="Z286" s="3"/>
      <c r="AA286" s="2"/>
      <c r="AB286" s="2"/>
      <c r="AC286" s="2"/>
      <c r="AD286" s="2"/>
      <c r="AE286" s="2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4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</row>
    <row r="287" ht="15.75">
      <c r="A287" s="3"/>
      <c r="B287" s="2"/>
      <c r="C287" s="2"/>
      <c r="D287" s="2"/>
      <c r="E287" s="2"/>
      <c r="F287" s="2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2"/>
      <c r="T287" s="2"/>
      <c r="U287" s="2"/>
      <c r="V287" s="2"/>
      <c r="W287" s="2"/>
      <c r="X287" s="2"/>
      <c r="Y287" s="3"/>
      <c r="Z287" s="3"/>
      <c r="AA287" s="2"/>
      <c r="AB287" s="2"/>
      <c r="AC287" s="2"/>
      <c r="AD287" s="2"/>
      <c r="AE287" s="2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4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</row>
    <row r="288" ht="15.75">
      <c r="A288" s="3"/>
      <c r="B288" s="2"/>
      <c r="C288" s="2"/>
      <c r="D288" s="2"/>
      <c r="E288" s="2"/>
      <c r="F288" s="2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2"/>
      <c r="T288" s="2"/>
      <c r="U288" s="2"/>
      <c r="V288" s="2"/>
      <c r="W288" s="2"/>
      <c r="X288" s="2"/>
      <c r="Y288" s="3"/>
      <c r="Z288" s="3"/>
      <c r="AA288" s="2"/>
      <c r="AB288" s="2"/>
      <c r="AC288" s="2"/>
      <c r="AD288" s="2"/>
      <c r="AE288" s="2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4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</row>
    <row r="289" ht="15.75">
      <c r="A289" s="3"/>
      <c r="B289" s="2"/>
      <c r="C289" s="2"/>
      <c r="D289" s="2"/>
      <c r="E289" s="2"/>
      <c r="F289" s="2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2"/>
      <c r="T289" s="2"/>
      <c r="U289" s="2"/>
      <c r="V289" s="2"/>
      <c r="W289" s="2"/>
      <c r="X289" s="2"/>
      <c r="Y289" s="3"/>
      <c r="Z289" s="3"/>
      <c r="AA289" s="2"/>
      <c r="AB289" s="2"/>
      <c r="AC289" s="2"/>
      <c r="AD289" s="2"/>
      <c r="AE289" s="2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4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</row>
    <row r="290" ht="15.75">
      <c r="A290" s="3"/>
      <c r="B290" s="2"/>
      <c r="C290" s="2"/>
      <c r="D290" s="2"/>
      <c r="E290" s="2"/>
      <c r="F290" s="2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2"/>
      <c r="T290" s="2"/>
      <c r="U290" s="2"/>
      <c r="V290" s="2"/>
      <c r="W290" s="2"/>
      <c r="X290" s="2"/>
      <c r="Y290" s="3"/>
      <c r="Z290" s="3"/>
      <c r="AA290" s="2"/>
      <c r="AB290" s="2"/>
      <c r="AC290" s="2"/>
      <c r="AD290" s="2"/>
      <c r="AE290" s="2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4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</row>
    <row r="291" ht="15.75">
      <c r="A291" s="3"/>
      <c r="B291" s="2"/>
      <c r="C291" s="2"/>
      <c r="D291" s="2"/>
      <c r="E291" s="2"/>
      <c r="F291" s="2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2"/>
      <c r="T291" s="2"/>
      <c r="U291" s="2"/>
      <c r="V291" s="2"/>
      <c r="W291" s="2"/>
      <c r="X291" s="2"/>
      <c r="Y291" s="3"/>
      <c r="Z291" s="3"/>
      <c r="AA291" s="2"/>
      <c r="AB291" s="2"/>
      <c r="AC291" s="2"/>
      <c r="AD291" s="2"/>
      <c r="AE291" s="2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4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</row>
    <row r="292" ht="15.75">
      <c r="A292" s="3"/>
      <c r="B292" s="2"/>
      <c r="C292" s="2"/>
      <c r="D292" s="2"/>
      <c r="E292" s="2"/>
      <c r="F292" s="2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2"/>
      <c r="T292" s="2"/>
      <c r="U292" s="2"/>
      <c r="V292" s="2"/>
      <c r="W292" s="2"/>
      <c r="X292" s="2"/>
      <c r="Y292" s="3"/>
      <c r="Z292" s="3"/>
      <c r="AA292" s="2"/>
      <c r="AB292" s="2"/>
      <c r="AC292" s="2"/>
      <c r="AD292" s="2"/>
      <c r="AE292" s="2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4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</row>
    <row r="293" ht="15.75">
      <c r="A293" s="3"/>
      <c r="B293" s="2"/>
      <c r="C293" s="2"/>
      <c r="D293" s="2"/>
      <c r="E293" s="2"/>
      <c r="F293" s="2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2"/>
      <c r="T293" s="2"/>
      <c r="U293" s="2"/>
      <c r="V293" s="2"/>
      <c r="W293" s="2"/>
      <c r="X293" s="2"/>
      <c r="Y293" s="3"/>
      <c r="Z293" s="3"/>
      <c r="AA293" s="2"/>
      <c r="AB293" s="2"/>
      <c r="AC293" s="2"/>
      <c r="AD293" s="2"/>
      <c r="AE293" s="2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4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</row>
    <row r="294" ht="15.75">
      <c r="A294" s="3"/>
      <c r="B294" s="2"/>
      <c r="C294" s="2"/>
      <c r="D294" s="2"/>
      <c r="E294" s="2"/>
      <c r="F294" s="2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2"/>
      <c r="T294" s="2"/>
      <c r="U294" s="2"/>
      <c r="V294" s="2"/>
      <c r="W294" s="2"/>
      <c r="X294" s="2"/>
      <c r="Y294" s="3"/>
      <c r="Z294" s="3"/>
      <c r="AA294" s="2"/>
      <c r="AB294" s="2"/>
      <c r="AC294" s="2"/>
      <c r="AD294" s="2"/>
      <c r="AE294" s="2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4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</row>
    <row r="295" ht="15.75">
      <c r="A295" s="3"/>
      <c r="B295" s="2"/>
      <c r="C295" s="2"/>
      <c r="D295" s="2"/>
      <c r="E295" s="2"/>
      <c r="F295" s="2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2"/>
      <c r="T295" s="2"/>
      <c r="U295" s="2"/>
      <c r="V295" s="2"/>
      <c r="W295" s="2"/>
      <c r="X295" s="2"/>
      <c r="Y295" s="3"/>
      <c r="Z295" s="3"/>
      <c r="AA295" s="2"/>
      <c r="AB295" s="2"/>
      <c r="AC295" s="2"/>
      <c r="AD295" s="2"/>
      <c r="AE295" s="2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4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</row>
    <row r="296" ht="15.75">
      <c r="A296" s="3"/>
      <c r="B296" s="2"/>
      <c r="C296" s="2"/>
      <c r="D296" s="2"/>
      <c r="E296" s="2"/>
      <c r="F296" s="2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3"/>
      <c r="R296" s="3"/>
      <c r="S296" s="2"/>
      <c r="T296" s="2"/>
      <c r="U296" s="2"/>
      <c r="V296" s="2"/>
      <c r="W296" s="2"/>
      <c r="X296" s="2"/>
      <c r="Y296" s="3"/>
      <c r="Z296" s="3"/>
      <c r="AA296" s="2"/>
      <c r="AB296" s="2"/>
      <c r="AC296" s="2"/>
      <c r="AD296" s="2"/>
      <c r="AE296" s="2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4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</row>
    <row r="297" ht="15.75">
      <c r="A297" s="3"/>
      <c r="B297" s="2"/>
      <c r="C297" s="2"/>
      <c r="D297" s="2"/>
      <c r="E297" s="2"/>
      <c r="F297" s="2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2"/>
      <c r="T297" s="2"/>
      <c r="U297" s="2"/>
      <c r="V297" s="2"/>
      <c r="W297" s="2"/>
      <c r="X297" s="2"/>
      <c r="Y297" s="3"/>
      <c r="Z297" s="3"/>
      <c r="AA297" s="2"/>
      <c r="AB297" s="2"/>
      <c r="AC297" s="2"/>
      <c r="AD297" s="2"/>
      <c r="AE297" s="2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4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</row>
    <row r="298" ht="15.75">
      <c r="A298" s="3"/>
      <c r="B298" s="2"/>
      <c r="C298" s="2"/>
      <c r="D298" s="2"/>
      <c r="E298" s="2"/>
      <c r="F298" s="2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3"/>
      <c r="R298" s="3"/>
      <c r="S298" s="2"/>
      <c r="T298" s="2"/>
      <c r="U298" s="2"/>
      <c r="V298" s="2"/>
      <c r="W298" s="2"/>
      <c r="X298" s="2"/>
      <c r="Y298" s="3"/>
      <c r="Z298" s="3"/>
      <c r="AA298" s="2"/>
      <c r="AB298" s="2"/>
      <c r="AC298" s="2"/>
      <c r="AD298" s="2"/>
      <c r="AE298" s="2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4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</row>
    <row r="299" ht="15.75">
      <c r="A299" s="3"/>
      <c r="B299" s="2"/>
      <c r="C299" s="2"/>
      <c r="D299" s="2"/>
      <c r="E299" s="2"/>
      <c r="F299" s="2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2"/>
      <c r="T299" s="2"/>
      <c r="U299" s="2"/>
      <c r="V299" s="2"/>
      <c r="W299" s="2"/>
      <c r="X299" s="2"/>
      <c r="Y299" s="3"/>
      <c r="Z299" s="3"/>
      <c r="AA299" s="2"/>
      <c r="AB299" s="2"/>
      <c r="AC299" s="2"/>
      <c r="AD299" s="2"/>
      <c r="AE299" s="2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4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</row>
    <row r="300" ht="15.75">
      <c r="A300" s="3"/>
      <c r="B300" s="2"/>
      <c r="C300" s="2"/>
      <c r="D300" s="2"/>
      <c r="E300" s="2"/>
      <c r="F300" s="2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2"/>
      <c r="T300" s="2"/>
      <c r="U300" s="2"/>
      <c r="V300" s="2"/>
      <c r="W300" s="2"/>
      <c r="X300" s="2"/>
      <c r="Y300" s="3"/>
      <c r="Z300" s="3"/>
      <c r="AA300" s="2"/>
      <c r="AB300" s="2"/>
      <c r="AC300" s="2"/>
      <c r="AD300" s="2"/>
      <c r="AE300" s="2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4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</row>
    <row r="301" ht="15.75">
      <c r="A301" s="3"/>
      <c r="B301" s="2"/>
      <c r="C301" s="2"/>
      <c r="D301" s="2"/>
      <c r="E301" s="2"/>
      <c r="F301" s="2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2"/>
      <c r="T301" s="2"/>
      <c r="U301" s="2"/>
      <c r="V301" s="2"/>
      <c r="W301" s="2"/>
      <c r="X301" s="2"/>
      <c r="Y301" s="3"/>
      <c r="Z301" s="3"/>
      <c r="AA301" s="2"/>
      <c r="AB301" s="2"/>
      <c r="AC301" s="2"/>
      <c r="AD301" s="2"/>
      <c r="AE301" s="2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4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</row>
    <row r="302" ht="15.75">
      <c r="A302" s="3"/>
      <c r="B302" s="2"/>
      <c r="C302" s="2"/>
      <c r="D302" s="2"/>
      <c r="E302" s="2"/>
      <c r="F302" s="2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2"/>
      <c r="T302" s="2"/>
      <c r="U302" s="2"/>
      <c r="V302" s="2"/>
      <c r="W302" s="2"/>
      <c r="X302" s="2"/>
      <c r="Y302" s="3"/>
      <c r="Z302" s="3"/>
      <c r="AA302" s="2"/>
      <c r="AB302" s="2"/>
      <c r="AC302" s="2"/>
      <c r="AD302" s="2"/>
      <c r="AE302" s="2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4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</row>
    <row r="303" ht="15.75">
      <c r="A303" s="3"/>
      <c r="B303" s="2"/>
      <c r="C303" s="2"/>
      <c r="D303" s="2"/>
      <c r="E303" s="2"/>
      <c r="F303" s="2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2"/>
      <c r="T303" s="2"/>
      <c r="U303" s="2"/>
      <c r="V303" s="2"/>
      <c r="W303" s="2"/>
      <c r="X303" s="2"/>
      <c r="Y303" s="3"/>
      <c r="Z303" s="3"/>
      <c r="AA303" s="2"/>
      <c r="AB303" s="2"/>
      <c r="AC303" s="2"/>
      <c r="AD303" s="2"/>
      <c r="AE303" s="2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4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</row>
    <row r="304" ht="15.75">
      <c r="A304" s="3"/>
      <c r="B304" s="2"/>
      <c r="C304" s="2"/>
      <c r="D304" s="2"/>
      <c r="E304" s="2"/>
      <c r="F304" s="2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2"/>
      <c r="T304" s="2"/>
      <c r="U304" s="2"/>
      <c r="V304" s="2"/>
      <c r="W304" s="2"/>
      <c r="X304" s="2"/>
      <c r="Y304" s="3"/>
      <c r="Z304" s="3"/>
      <c r="AA304" s="2"/>
      <c r="AB304" s="2"/>
      <c r="AC304" s="2"/>
      <c r="AD304" s="2"/>
      <c r="AE304" s="2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4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</row>
    <row r="305" ht="15.75">
      <c r="A305" s="3"/>
      <c r="B305" s="2"/>
      <c r="C305" s="2"/>
      <c r="D305" s="2"/>
      <c r="E305" s="2"/>
      <c r="F305" s="2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2"/>
      <c r="T305" s="2"/>
      <c r="U305" s="2"/>
      <c r="V305" s="2"/>
      <c r="W305" s="2"/>
      <c r="X305" s="2"/>
      <c r="Y305" s="3"/>
      <c r="Z305" s="3"/>
      <c r="AA305" s="2"/>
      <c r="AB305" s="2"/>
      <c r="AC305" s="2"/>
      <c r="AD305" s="2"/>
      <c r="AE305" s="2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4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</row>
    <row r="306" ht="15.75">
      <c r="A306" s="3"/>
      <c r="B306" s="2"/>
      <c r="C306" s="2"/>
      <c r="D306" s="2"/>
      <c r="E306" s="2"/>
      <c r="F306" s="2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3"/>
      <c r="R306" s="3"/>
      <c r="S306" s="2"/>
      <c r="T306" s="2"/>
      <c r="U306" s="2"/>
      <c r="V306" s="2"/>
      <c r="W306" s="2"/>
      <c r="X306" s="2"/>
      <c r="Y306" s="3"/>
      <c r="Z306" s="3"/>
      <c r="AA306" s="2"/>
      <c r="AB306" s="2"/>
      <c r="AC306" s="2"/>
      <c r="AD306" s="2"/>
      <c r="AE306" s="2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4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</row>
    <row r="307" ht="15.75">
      <c r="A307" s="3"/>
      <c r="B307" s="2"/>
      <c r="C307" s="2"/>
      <c r="D307" s="2"/>
      <c r="E307" s="2"/>
      <c r="F307" s="2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3"/>
      <c r="R307" s="3"/>
      <c r="S307" s="2"/>
      <c r="T307" s="2"/>
      <c r="U307" s="2"/>
      <c r="V307" s="2"/>
      <c r="W307" s="2"/>
      <c r="X307" s="2"/>
      <c r="Y307" s="3"/>
      <c r="Z307" s="3"/>
      <c r="AA307" s="2"/>
      <c r="AB307" s="2"/>
      <c r="AC307" s="2"/>
      <c r="AD307" s="2"/>
      <c r="AE307" s="2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4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</row>
    <row r="308" ht="15.75">
      <c r="A308" s="3"/>
      <c r="B308" s="2"/>
      <c r="C308" s="2"/>
      <c r="D308" s="2"/>
      <c r="E308" s="2"/>
      <c r="F308" s="2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2"/>
      <c r="T308" s="2"/>
      <c r="U308" s="2"/>
      <c r="V308" s="2"/>
      <c r="W308" s="2"/>
      <c r="X308" s="2"/>
      <c r="Y308" s="3"/>
      <c r="Z308" s="3"/>
      <c r="AA308" s="2"/>
      <c r="AB308" s="2"/>
      <c r="AC308" s="2"/>
      <c r="AD308" s="2"/>
      <c r="AE308" s="2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4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</row>
    <row r="309" ht="15.75">
      <c r="A309" s="3"/>
      <c r="B309" s="2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2"/>
      <c r="T309" s="2"/>
      <c r="U309" s="2"/>
      <c r="V309" s="2"/>
      <c r="W309" s="2"/>
      <c r="X309" s="2"/>
      <c r="Y309" s="3"/>
      <c r="Z309" s="3"/>
      <c r="AA309" s="2"/>
      <c r="AB309" s="2"/>
      <c r="AC309" s="2"/>
      <c r="AD309" s="2"/>
      <c r="AE309" s="2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4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</row>
    <row r="310" ht="15.75">
      <c r="A310" s="3"/>
      <c r="B310" s="2"/>
      <c r="C310" s="2"/>
      <c r="D310" s="2"/>
      <c r="E310" s="2"/>
      <c r="F310" s="2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2"/>
      <c r="T310" s="2"/>
      <c r="U310" s="2"/>
      <c r="V310" s="2"/>
      <c r="W310" s="2"/>
      <c r="X310" s="2"/>
      <c r="Y310" s="3"/>
      <c r="Z310" s="3"/>
      <c r="AA310" s="2"/>
      <c r="AB310" s="2"/>
      <c r="AC310" s="2"/>
      <c r="AD310" s="2"/>
      <c r="AE310" s="2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4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</row>
    <row r="311" ht="15.75">
      <c r="A311" s="3"/>
      <c r="B311" s="2"/>
      <c r="C311" s="2"/>
      <c r="D311" s="2"/>
      <c r="E311" s="2"/>
      <c r="F311" s="2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2"/>
      <c r="T311" s="2"/>
      <c r="U311" s="2"/>
      <c r="V311" s="2"/>
      <c r="W311" s="2"/>
      <c r="X311" s="2"/>
      <c r="Y311" s="3"/>
      <c r="Z311" s="3"/>
      <c r="AA311" s="2"/>
      <c r="AB311" s="2"/>
      <c r="AC311" s="2"/>
      <c r="AD311" s="2"/>
      <c r="AE311" s="2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4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</row>
    <row r="312" ht="15.75">
      <c r="A312" s="3"/>
      <c r="B312" s="2"/>
      <c r="C312" s="2"/>
      <c r="D312" s="2"/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2"/>
      <c r="T312" s="2"/>
      <c r="U312" s="2"/>
      <c r="V312" s="2"/>
      <c r="W312" s="2"/>
      <c r="X312" s="2"/>
      <c r="Y312" s="3"/>
      <c r="Z312" s="3"/>
      <c r="AA312" s="2"/>
      <c r="AB312" s="2"/>
      <c r="AC312" s="2"/>
      <c r="AD312" s="2"/>
      <c r="AE312" s="2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4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</row>
    <row r="313" ht="15.75">
      <c r="A313" s="3"/>
      <c r="B313" s="2"/>
      <c r="C313" s="2"/>
      <c r="D313" s="2"/>
      <c r="E313" s="2"/>
      <c r="F313" s="2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2"/>
      <c r="T313" s="2"/>
      <c r="U313" s="2"/>
      <c r="V313" s="2"/>
      <c r="W313" s="2"/>
      <c r="X313" s="2"/>
      <c r="Y313" s="3"/>
      <c r="Z313" s="3"/>
      <c r="AA313" s="2"/>
      <c r="AB313" s="2"/>
      <c r="AC313" s="2"/>
      <c r="AD313" s="2"/>
      <c r="AE313" s="2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4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</row>
    <row r="314" ht="15.75">
      <c r="A314" s="3"/>
      <c r="B314" s="2"/>
      <c r="C314" s="2"/>
      <c r="D314" s="2"/>
      <c r="E314" s="2"/>
      <c r="F314" s="2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2"/>
      <c r="T314" s="2"/>
      <c r="U314" s="2"/>
      <c r="V314" s="2"/>
      <c r="W314" s="2"/>
      <c r="X314" s="2"/>
      <c r="Y314" s="3"/>
      <c r="Z314" s="3"/>
      <c r="AA314" s="2"/>
      <c r="AB314" s="2"/>
      <c r="AC314" s="2"/>
      <c r="AD314" s="2"/>
      <c r="AE314" s="2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4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</row>
    <row r="315" ht="15.75">
      <c r="A315" s="3"/>
      <c r="B315" s="2"/>
      <c r="C315" s="2"/>
      <c r="D315" s="2"/>
      <c r="E315" s="2"/>
      <c r="F315" s="2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2"/>
      <c r="T315" s="2"/>
      <c r="U315" s="2"/>
      <c r="V315" s="2"/>
      <c r="W315" s="2"/>
      <c r="X315" s="2"/>
      <c r="Y315" s="3"/>
      <c r="Z315" s="3"/>
      <c r="AA315" s="2"/>
      <c r="AB315" s="2"/>
      <c r="AC315" s="2"/>
      <c r="AD315" s="2"/>
      <c r="AE315" s="2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4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</row>
    <row r="316" ht="15.75">
      <c r="A316" s="3"/>
      <c r="B316" s="2"/>
      <c r="C316" s="2"/>
      <c r="D316" s="2"/>
      <c r="E316" s="2"/>
      <c r="F316" s="2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2"/>
      <c r="T316" s="2"/>
      <c r="U316" s="2"/>
      <c r="V316" s="2"/>
      <c r="W316" s="2"/>
      <c r="X316" s="2"/>
      <c r="Y316" s="3"/>
      <c r="Z316" s="3"/>
      <c r="AA316" s="2"/>
      <c r="AB316" s="2"/>
      <c r="AC316" s="2"/>
      <c r="AD316" s="2"/>
      <c r="AE316" s="2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4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</row>
    <row r="317" ht="15.75">
      <c r="A317" s="3"/>
      <c r="B317" s="2"/>
      <c r="C317" s="2"/>
      <c r="D317" s="2"/>
      <c r="E317" s="2"/>
      <c r="F317" s="2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2"/>
      <c r="T317" s="2"/>
      <c r="U317" s="2"/>
      <c r="V317" s="2"/>
      <c r="W317" s="2"/>
      <c r="X317" s="2"/>
      <c r="Y317" s="3"/>
      <c r="Z317" s="3"/>
      <c r="AA317" s="2"/>
      <c r="AB317" s="2"/>
      <c r="AC317" s="2"/>
      <c r="AD317" s="2"/>
      <c r="AE317" s="2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4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</row>
    <row r="318" ht="15.75">
      <c r="A318" s="3"/>
      <c r="B318" s="2"/>
      <c r="C318" s="2"/>
      <c r="D318" s="2"/>
      <c r="E318" s="2"/>
      <c r="F318" s="2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2"/>
      <c r="T318" s="2"/>
      <c r="U318" s="2"/>
      <c r="V318" s="2"/>
      <c r="W318" s="2"/>
      <c r="X318" s="2"/>
      <c r="Y318" s="3"/>
      <c r="Z318" s="3"/>
      <c r="AA318" s="2"/>
      <c r="AB318" s="2"/>
      <c r="AC318" s="2"/>
      <c r="AD318" s="2"/>
      <c r="AE318" s="2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4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</row>
    <row r="319" ht="15.75">
      <c r="A319" s="3"/>
      <c r="B319" s="2"/>
      <c r="C319" s="2"/>
      <c r="D319" s="2"/>
      <c r="E319" s="2"/>
      <c r="F319" s="2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2"/>
      <c r="T319" s="2"/>
      <c r="U319" s="2"/>
      <c r="V319" s="2"/>
      <c r="W319" s="2"/>
      <c r="X319" s="2"/>
      <c r="Y319" s="3"/>
      <c r="Z319" s="3"/>
      <c r="AA319" s="2"/>
      <c r="AB319" s="2"/>
      <c r="AC319" s="2"/>
      <c r="AD319" s="2"/>
      <c r="AE319" s="2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4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</row>
    <row r="320" ht="15.75">
      <c r="A320" s="3"/>
      <c r="B320" s="2"/>
      <c r="C320" s="2"/>
      <c r="D320" s="2"/>
      <c r="E320" s="2"/>
      <c r="F320" s="2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2"/>
      <c r="T320" s="2"/>
      <c r="U320" s="2"/>
      <c r="V320" s="2"/>
      <c r="W320" s="2"/>
      <c r="X320" s="2"/>
      <c r="Y320" s="3"/>
      <c r="Z320" s="3"/>
      <c r="AA320" s="2"/>
      <c r="AB320" s="2"/>
      <c r="AC320" s="2"/>
      <c r="AD320" s="2"/>
      <c r="AE320" s="2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4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</row>
    <row r="321" ht="15.75">
      <c r="A321" s="3"/>
      <c r="B321" s="2"/>
      <c r="C321" s="2"/>
      <c r="D321" s="2"/>
      <c r="E321" s="2"/>
      <c r="F321" s="2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2"/>
      <c r="T321" s="2"/>
      <c r="U321" s="2"/>
      <c r="V321" s="2"/>
      <c r="W321" s="2"/>
      <c r="X321" s="2"/>
      <c r="Y321" s="3"/>
      <c r="Z321" s="3"/>
      <c r="AA321" s="2"/>
      <c r="AB321" s="2"/>
      <c r="AC321" s="2"/>
      <c r="AD321" s="2"/>
      <c r="AE321" s="2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4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</row>
    <row r="322" ht="15.75">
      <c r="A322" s="3"/>
      <c r="B322" s="2"/>
      <c r="C322" s="2"/>
      <c r="D322" s="2"/>
      <c r="E322" s="2"/>
      <c r="F322" s="2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2"/>
      <c r="T322" s="2"/>
      <c r="U322" s="2"/>
      <c r="V322" s="2"/>
      <c r="W322" s="2"/>
      <c r="X322" s="2"/>
      <c r="Y322" s="3"/>
      <c r="Z322" s="3"/>
      <c r="AA322" s="2"/>
      <c r="AB322" s="2"/>
      <c r="AC322" s="2"/>
      <c r="AD322" s="2"/>
      <c r="AE322" s="2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4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</row>
    <row r="323" ht="15.75">
      <c r="A323" s="3"/>
      <c r="B323" s="2"/>
      <c r="C323" s="2"/>
      <c r="D323" s="2"/>
      <c r="E323" s="2"/>
      <c r="F323" s="2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2"/>
      <c r="T323" s="2"/>
      <c r="U323" s="2"/>
      <c r="V323" s="2"/>
      <c r="W323" s="2"/>
      <c r="X323" s="2"/>
      <c r="Y323" s="3"/>
      <c r="Z323" s="3"/>
      <c r="AA323" s="2"/>
      <c r="AB323" s="2"/>
      <c r="AC323" s="2"/>
      <c r="AD323" s="2"/>
      <c r="AE323" s="2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4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</row>
    <row r="324" ht="15.75">
      <c r="A324" s="3"/>
      <c r="B324" s="2"/>
      <c r="C324" s="2"/>
      <c r="D324" s="2"/>
      <c r="E324" s="2"/>
      <c r="F324" s="2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3"/>
      <c r="R324" s="3"/>
      <c r="S324" s="2"/>
      <c r="T324" s="2"/>
      <c r="U324" s="2"/>
      <c r="V324" s="2"/>
      <c r="W324" s="2"/>
      <c r="X324" s="2"/>
      <c r="Y324" s="3"/>
      <c r="Z324" s="3"/>
      <c r="AA324" s="2"/>
      <c r="AB324" s="2"/>
      <c r="AC324" s="2"/>
      <c r="AD324" s="2"/>
      <c r="AE324" s="2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4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</row>
    <row r="325" ht="15.75">
      <c r="A325" s="3"/>
      <c r="B325" s="2"/>
      <c r="C325" s="2"/>
      <c r="D325" s="2"/>
      <c r="E325" s="2"/>
      <c r="F325" s="2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3"/>
      <c r="R325" s="3"/>
      <c r="S325" s="2"/>
      <c r="T325" s="2"/>
      <c r="U325" s="2"/>
      <c r="V325" s="2"/>
      <c r="W325" s="2"/>
      <c r="X325" s="2"/>
      <c r="Y325" s="3"/>
      <c r="Z325" s="3"/>
      <c r="AA325" s="2"/>
      <c r="AB325" s="2"/>
      <c r="AC325" s="2"/>
      <c r="AD325" s="2"/>
      <c r="AE325" s="2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4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</row>
    <row r="326" ht="15.75">
      <c r="A326" s="3"/>
      <c r="B326" s="2"/>
      <c r="C326" s="2"/>
      <c r="D326" s="2"/>
      <c r="E326" s="2"/>
      <c r="F326" s="2"/>
      <c r="G326" s="2"/>
      <c r="H326" s="2"/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2"/>
      <c r="T326" s="2"/>
      <c r="U326" s="2"/>
      <c r="V326" s="2"/>
      <c r="W326" s="2"/>
      <c r="X326" s="2"/>
      <c r="Y326" s="3"/>
      <c r="Z326" s="3"/>
      <c r="AA326" s="2"/>
      <c r="AB326" s="2"/>
      <c r="AC326" s="2"/>
      <c r="AD326" s="2"/>
      <c r="AE326" s="2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4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</row>
    <row r="327" ht="15.75">
      <c r="A327" s="3"/>
      <c r="B327" s="2"/>
      <c r="C327" s="2"/>
      <c r="D327" s="2"/>
      <c r="E327" s="2"/>
      <c r="F327" s="2"/>
      <c r="G327" s="2"/>
      <c r="H327" s="2"/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2"/>
      <c r="T327" s="2"/>
      <c r="U327" s="2"/>
      <c r="V327" s="2"/>
      <c r="W327" s="2"/>
      <c r="X327" s="2"/>
      <c r="Y327" s="3"/>
      <c r="Z327" s="3"/>
      <c r="AA327" s="2"/>
      <c r="AB327" s="2"/>
      <c r="AC327" s="2"/>
      <c r="AD327" s="2"/>
      <c r="AE327" s="2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4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</row>
    <row r="328" ht="15.75">
      <c r="A328" s="3"/>
      <c r="B328" s="2"/>
      <c r="C328" s="2"/>
      <c r="D328" s="2"/>
      <c r="E328" s="2"/>
      <c r="F328" s="2"/>
      <c r="G328" s="2"/>
      <c r="H328" s="2"/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2"/>
      <c r="T328" s="2"/>
      <c r="U328" s="2"/>
      <c r="V328" s="2"/>
      <c r="W328" s="2"/>
      <c r="X328" s="2"/>
      <c r="Y328" s="3"/>
      <c r="Z328" s="3"/>
      <c r="AA328" s="2"/>
      <c r="AB328" s="2"/>
      <c r="AC328" s="2"/>
      <c r="AD328" s="2"/>
      <c r="AE328" s="2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4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</row>
    <row r="329" ht="15.75">
      <c r="A329" s="3"/>
      <c r="B329" s="2"/>
      <c r="C329" s="2"/>
      <c r="D329" s="2"/>
      <c r="E329" s="2"/>
      <c r="F329" s="2"/>
      <c r="G329" s="2"/>
      <c r="H329" s="2"/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2"/>
      <c r="T329" s="2"/>
      <c r="U329" s="2"/>
      <c r="V329" s="2"/>
      <c r="W329" s="2"/>
      <c r="X329" s="2"/>
      <c r="Y329" s="3"/>
      <c r="Z329" s="3"/>
      <c r="AA329" s="2"/>
      <c r="AB329" s="2"/>
      <c r="AC329" s="2"/>
      <c r="AD329" s="2"/>
      <c r="AE329" s="2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4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</row>
    <row r="330" ht="15.75">
      <c r="A330" s="3"/>
      <c r="B330" s="2"/>
      <c r="C330" s="2"/>
      <c r="D330" s="2"/>
      <c r="E330" s="2"/>
      <c r="F330" s="2"/>
      <c r="G330" s="2"/>
      <c r="H330" s="2"/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2"/>
      <c r="T330" s="2"/>
      <c r="U330" s="2"/>
      <c r="V330" s="2"/>
      <c r="W330" s="2"/>
      <c r="X330" s="2"/>
      <c r="Y330" s="3"/>
      <c r="Z330" s="3"/>
      <c r="AA330" s="2"/>
      <c r="AB330" s="2"/>
      <c r="AC330" s="2"/>
      <c r="AD330" s="2"/>
      <c r="AE330" s="2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4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</row>
    <row r="331" ht="15.75">
      <c r="A331" s="3"/>
      <c r="B331" s="2"/>
      <c r="C331" s="2"/>
      <c r="D331" s="2"/>
      <c r="E331" s="2"/>
      <c r="F331" s="2"/>
      <c r="G331" s="2"/>
      <c r="H331" s="2"/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2"/>
      <c r="T331" s="2"/>
      <c r="U331" s="2"/>
      <c r="V331" s="2"/>
      <c r="W331" s="2"/>
      <c r="X331" s="2"/>
      <c r="Y331" s="3"/>
      <c r="Z331" s="3"/>
      <c r="AA331" s="2"/>
      <c r="AB331" s="2"/>
      <c r="AC331" s="2"/>
      <c r="AD331" s="2"/>
      <c r="AE331" s="2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4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</row>
    <row r="332" ht="15.75">
      <c r="A332" s="3"/>
      <c r="B332" s="2"/>
      <c r="C332" s="2"/>
      <c r="D332" s="2"/>
      <c r="E332" s="2"/>
      <c r="F332" s="2"/>
      <c r="G332" s="2"/>
      <c r="H332" s="2"/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2"/>
      <c r="T332" s="2"/>
      <c r="U332" s="2"/>
      <c r="V332" s="2"/>
      <c r="W332" s="2"/>
      <c r="X332" s="2"/>
      <c r="Y332" s="3"/>
      <c r="Z332" s="3"/>
      <c r="AA332" s="2"/>
      <c r="AB332" s="2"/>
      <c r="AC332" s="2"/>
      <c r="AD332" s="2"/>
      <c r="AE332" s="2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4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</row>
    <row r="333" ht="15.75">
      <c r="A333" s="3"/>
      <c r="B333" s="2"/>
      <c r="C333" s="2"/>
      <c r="D333" s="2"/>
      <c r="E333" s="2"/>
      <c r="F333" s="2"/>
      <c r="G333" s="2"/>
      <c r="H333" s="2"/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2"/>
      <c r="T333" s="2"/>
      <c r="U333" s="2"/>
      <c r="V333" s="2"/>
      <c r="W333" s="2"/>
      <c r="X333" s="2"/>
      <c r="Y333" s="3"/>
      <c r="Z333" s="3"/>
      <c r="AA333" s="2"/>
      <c r="AB333" s="2"/>
      <c r="AC333" s="2"/>
      <c r="AD333" s="2"/>
      <c r="AE333" s="2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4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</row>
    <row r="334" ht="15.75">
      <c r="A334" s="3"/>
      <c r="B334" s="2"/>
      <c r="C334" s="2"/>
      <c r="D334" s="2"/>
      <c r="E334" s="2"/>
      <c r="F334" s="2"/>
      <c r="G334" s="2"/>
      <c r="H334" s="2"/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2"/>
      <c r="T334" s="2"/>
      <c r="U334" s="2"/>
      <c r="V334" s="2"/>
      <c r="W334" s="2"/>
      <c r="X334" s="2"/>
      <c r="Y334" s="3"/>
      <c r="Z334" s="3"/>
      <c r="AA334" s="2"/>
      <c r="AB334" s="2"/>
      <c r="AC334" s="2"/>
      <c r="AD334" s="2"/>
      <c r="AE334" s="2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4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</row>
    <row r="335" ht="15.75">
      <c r="A335" s="3"/>
      <c r="B335" s="2"/>
      <c r="C335" s="2"/>
      <c r="D335" s="2"/>
      <c r="E335" s="2"/>
      <c r="F335" s="2"/>
      <c r="G335" s="2"/>
      <c r="H335" s="2"/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2"/>
      <c r="T335" s="2"/>
      <c r="U335" s="2"/>
      <c r="V335" s="2"/>
      <c r="W335" s="2"/>
      <c r="X335" s="2"/>
      <c r="Y335" s="3"/>
      <c r="Z335" s="3"/>
      <c r="AA335" s="2"/>
      <c r="AB335" s="2"/>
      <c r="AC335" s="2"/>
      <c r="AD335" s="2"/>
      <c r="AE335" s="2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4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</row>
    <row r="336" ht="15.75">
      <c r="A336" s="3"/>
      <c r="B336" s="2"/>
      <c r="C336" s="2"/>
      <c r="D336" s="2"/>
      <c r="E336" s="2"/>
      <c r="F336" s="2"/>
      <c r="G336" s="2"/>
      <c r="H336" s="2"/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2"/>
      <c r="T336" s="2"/>
      <c r="U336" s="2"/>
      <c r="V336" s="2"/>
      <c r="W336" s="2"/>
      <c r="X336" s="2"/>
      <c r="Y336" s="3"/>
      <c r="Z336" s="3"/>
      <c r="AA336" s="2"/>
      <c r="AB336" s="2"/>
      <c r="AC336" s="2"/>
      <c r="AD336" s="2"/>
      <c r="AE336" s="2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4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</row>
    <row r="337" ht="15.75">
      <c r="A337" s="3"/>
      <c r="B337" s="2"/>
      <c r="C337" s="2"/>
      <c r="D337" s="2"/>
      <c r="E337" s="2"/>
      <c r="F337" s="2"/>
      <c r="G337" s="2"/>
      <c r="H337" s="2"/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2"/>
      <c r="T337" s="2"/>
      <c r="U337" s="2"/>
      <c r="V337" s="2"/>
      <c r="W337" s="2"/>
      <c r="X337" s="2"/>
      <c r="Y337" s="3"/>
      <c r="Z337" s="3"/>
      <c r="AA337" s="2"/>
      <c r="AB337" s="2"/>
      <c r="AC337" s="2"/>
      <c r="AD337" s="2"/>
      <c r="AE337" s="2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4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</row>
    <row r="338" ht="15.75">
      <c r="A338" s="3"/>
      <c r="B338" s="2"/>
      <c r="C338" s="2"/>
      <c r="D338" s="2"/>
      <c r="E338" s="2"/>
      <c r="F338" s="2"/>
      <c r="G338" s="2"/>
      <c r="H338" s="2"/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2"/>
      <c r="T338" s="2"/>
      <c r="U338" s="2"/>
      <c r="V338" s="2"/>
      <c r="W338" s="2"/>
      <c r="X338" s="2"/>
      <c r="Y338" s="3"/>
      <c r="Z338" s="3"/>
      <c r="AA338" s="2"/>
      <c r="AB338" s="2"/>
      <c r="AC338" s="2"/>
      <c r="AD338" s="2"/>
      <c r="AE338" s="2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4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</row>
    <row r="339" ht="15.75">
      <c r="A339" s="3"/>
      <c r="B339" s="2"/>
      <c r="C339" s="2"/>
      <c r="D339" s="2"/>
      <c r="E339" s="2"/>
      <c r="F339" s="2"/>
      <c r="G339" s="2"/>
      <c r="H339" s="2"/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2"/>
      <c r="T339" s="2"/>
      <c r="U339" s="2"/>
      <c r="V339" s="2"/>
      <c r="W339" s="2"/>
      <c r="X339" s="2"/>
      <c r="Y339" s="3"/>
      <c r="Z339" s="3"/>
      <c r="AA339" s="2"/>
      <c r="AB339" s="2"/>
      <c r="AC339" s="2"/>
      <c r="AD339" s="2"/>
      <c r="AE339" s="2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4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</row>
    <row r="340" ht="15.75">
      <c r="A340" s="3"/>
      <c r="B340" s="2"/>
      <c r="C340" s="2"/>
      <c r="D340" s="2"/>
      <c r="E340" s="2"/>
      <c r="F340" s="2"/>
      <c r="G340" s="2"/>
      <c r="H340" s="2"/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2"/>
      <c r="T340" s="2"/>
      <c r="U340" s="2"/>
      <c r="V340" s="2"/>
      <c r="W340" s="2"/>
      <c r="X340" s="2"/>
      <c r="Y340" s="3"/>
      <c r="Z340" s="3"/>
      <c r="AA340" s="2"/>
      <c r="AB340" s="2"/>
      <c r="AC340" s="2"/>
      <c r="AD340" s="2"/>
      <c r="AE340" s="2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4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</row>
    <row r="341" ht="15.75">
      <c r="A341" s="3"/>
      <c r="B341" s="2"/>
      <c r="C341" s="2"/>
      <c r="D341" s="2"/>
      <c r="E341" s="2"/>
      <c r="F341" s="2"/>
      <c r="G341" s="2"/>
      <c r="H341" s="2"/>
      <c r="I341" s="2"/>
      <c r="J341" s="3"/>
      <c r="K341" s="3"/>
      <c r="L341" s="3"/>
      <c r="M341" s="3"/>
      <c r="N341" s="3"/>
      <c r="O341" s="3"/>
      <c r="P341" s="3"/>
      <c r="Q341" s="3"/>
      <c r="R341" s="3"/>
      <c r="S341" s="2"/>
      <c r="T341" s="2"/>
      <c r="U341" s="2"/>
      <c r="V341" s="2"/>
      <c r="W341" s="2"/>
      <c r="X341" s="2"/>
      <c r="Y341" s="3"/>
      <c r="Z341" s="3"/>
      <c r="AA341" s="2"/>
      <c r="AB341" s="2"/>
      <c r="AC341" s="2"/>
      <c r="AD341" s="2"/>
      <c r="AE341" s="2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4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</row>
    <row r="342" ht="15.75">
      <c r="A342" s="3"/>
      <c r="B342" s="2"/>
      <c r="C342" s="2"/>
      <c r="D342" s="2"/>
      <c r="E342" s="2"/>
      <c r="F342" s="2"/>
      <c r="G342" s="2"/>
      <c r="H342" s="2"/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2"/>
      <c r="T342" s="2"/>
      <c r="U342" s="2"/>
      <c r="V342" s="2"/>
      <c r="W342" s="2"/>
      <c r="X342" s="2"/>
      <c r="Y342" s="3"/>
      <c r="Z342" s="3"/>
      <c r="AA342" s="2"/>
      <c r="AB342" s="2"/>
      <c r="AC342" s="2"/>
      <c r="AD342" s="2"/>
      <c r="AE342" s="2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4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</row>
    <row r="343" ht="15.75">
      <c r="A343" s="3"/>
      <c r="B343" s="2"/>
      <c r="C343" s="2"/>
      <c r="D343" s="2"/>
      <c r="E343" s="2"/>
      <c r="F343" s="2"/>
      <c r="G343" s="2"/>
      <c r="H343" s="2"/>
      <c r="I343" s="2"/>
      <c r="J343" s="3"/>
      <c r="K343" s="3"/>
      <c r="L343" s="3"/>
      <c r="M343" s="3"/>
      <c r="N343" s="3"/>
      <c r="O343" s="3"/>
      <c r="P343" s="3"/>
      <c r="Q343" s="3"/>
      <c r="R343" s="3"/>
      <c r="S343" s="2"/>
      <c r="T343" s="2"/>
      <c r="U343" s="2"/>
      <c r="V343" s="2"/>
      <c r="W343" s="2"/>
      <c r="X343" s="2"/>
      <c r="Y343" s="3"/>
      <c r="Z343" s="3"/>
      <c r="AA343" s="2"/>
      <c r="AB343" s="2"/>
      <c r="AC343" s="2"/>
      <c r="AD343" s="2"/>
      <c r="AE343" s="2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4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</row>
    <row r="344" ht="15.75">
      <c r="A344" s="3"/>
      <c r="B344" s="2"/>
      <c r="C344" s="2"/>
      <c r="D344" s="2"/>
      <c r="E344" s="2"/>
      <c r="F344" s="2"/>
      <c r="G344" s="2"/>
      <c r="H344" s="2"/>
      <c r="I344" s="2"/>
      <c r="J344" s="3"/>
      <c r="K344" s="3"/>
      <c r="L344" s="3"/>
      <c r="M344" s="3"/>
      <c r="N344" s="3"/>
      <c r="O344" s="3"/>
      <c r="P344" s="3"/>
      <c r="Q344" s="3"/>
      <c r="R344" s="3"/>
      <c r="S344" s="2"/>
      <c r="T344" s="2"/>
      <c r="U344" s="2"/>
      <c r="V344" s="2"/>
      <c r="W344" s="2"/>
      <c r="X344" s="2"/>
      <c r="Y344" s="3"/>
      <c r="Z344" s="3"/>
      <c r="AA344" s="2"/>
      <c r="AB344" s="2"/>
      <c r="AC344" s="2"/>
      <c r="AD344" s="2"/>
      <c r="AE344" s="2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4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</row>
    <row r="345" ht="15.75">
      <c r="A345" s="3"/>
      <c r="B345" s="2"/>
      <c r="C345" s="2"/>
      <c r="D345" s="2"/>
      <c r="E345" s="2"/>
      <c r="F345" s="2"/>
      <c r="G345" s="2"/>
      <c r="H345" s="2"/>
      <c r="I345" s="2"/>
      <c r="J345" s="3"/>
      <c r="K345" s="3"/>
      <c r="L345" s="3"/>
      <c r="M345" s="3"/>
      <c r="N345" s="3"/>
      <c r="O345" s="3"/>
      <c r="P345" s="3"/>
      <c r="Q345" s="3"/>
      <c r="R345" s="3"/>
      <c r="S345" s="2"/>
      <c r="T345" s="2"/>
      <c r="U345" s="2"/>
      <c r="V345" s="2"/>
      <c r="W345" s="2"/>
      <c r="X345" s="2"/>
      <c r="Y345" s="3"/>
      <c r="Z345" s="3"/>
      <c r="AA345" s="2"/>
      <c r="AB345" s="2"/>
      <c r="AC345" s="2"/>
      <c r="AD345" s="2"/>
      <c r="AE345" s="2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4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</row>
    <row r="346" ht="15.75">
      <c r="A346" s="3"/>
      <c r="B346" s="2"/>
      <c r="C346" s="2"/>
      <c r="D346" s="2"/>
      <c r="E346" s="2"/>
      <c r="F346" s="2"/>
      <c r="G346" s="2"/>
      <c r="H346" s="2"/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2"/>
      <c r="T346" s="2"/>
      <c r="U346" s="2"/>
      <c r="V346" s="2"/>
      <c r="W346" s="2"/>
      <c r="X346" s="2"/>
      <c r="Y346" s="3"/>
      <c r="Z346" s="3"/>
      <c r="AA346" s="2"/>
      <c r="AB346" s="2"/>
      <c r="AC346" s="2"/>
      <c r="AD346" s="2"/>
      <c r="AE346" s="2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4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</row>
    <row r="347" ht="15.75">
      <c r="A347" s="3"/>
      <c r="B347" s="2"/>
      <c r="C347" s="2"/>
      <c r="D347" s="2"/>
      <c r="E347" s="2"/>
      <c r="F347" s="2"/>
      <c r="G347" s="2"/>
      <c r="H347" s="2"/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2"/>
      <c r="T347" s="2"/>
      <c r="U347" s="2"/>
      <c r="V347" s="2"/>
      <c r="W347" s="2"/>
      <c r="X347" s="2"/>
      <c r="Y347" s="3"/>
      <c r="Z347" s="3"/>
      <c r="AA347" s="2"/>
      <c r="AB347" s="2"/>
      <c r="AC347" s="2"/>
      <c r="AD347" s="2"/>
      <c r="AE347" s="2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4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</row>
    <row r="348" ht="15.75">
      <c r="A348" s="3"/>
      <c r="B348" s="2"/>
      <c r="C348" s="2"/>
      <c r="D348" s="2"/>
      <c r="E348" s="2"/>
      <c r="F348" s="2"/>
      <c r="G348" s="2"/>
      <c r="H348" s="2"/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2"/>
      <c r="T348" s="2"/>
      <c r="U348" s="2"/>
      <c r="V348" s="2"/>
      <c r="W348" s="2"/>
      <c r="X348" s="2"/>
      <c r="Y348" s="3"/>
      <c r="Z348" s="3"/>
      <c r="AA348" s="2"/>
      <c r="AB348" s="2"/>
      <c r="AC348" s="2"/>
      <c r="AD348" s="2"/>
      <c r="AE348" s="2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4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</row>
    <row r="349" ht="15.75">
      <c r="A349" s="3"/>
      <c r="B349" s="2"/>
      <c r="C349" s="2"/>
      <c r="D349" s="2"/>
      <c r="E349" s="2"/>
      <c r="F349" s="2"/>
      <c r="G349" s="2"/>
      <c r="H349" s="2"/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2"/>
      <c r="T349" s="2"/>
      <c r="U349" s="2"/>
      <c r="V349" s="2"/>
      <c r="W349" s="2"/>
      <c r="X349" s="2"/>
      <c r="Y349" s="3"/>
      <c r="Z349" s="3"/>
      <c r="AA349" s="2"/>
      <c r="AB349" s="2"/>
      <c r="AC349" s="2"/>
      <c r="AD349" s="2"/>
      <c r="AE349" s="2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4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</row>
    <row r="350" ht="15.75">
      <c r="A350" s="3"/>
      <c r="B350" s="2"/>
      <c r="C350" s="2"/>
      <c r="D350" s="2"/>
      <c r="E350" s="2"/>
      <c r="F350" s="2"/>
      <c r="G350" s="2"/>
      <c r="H350" s="2"/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2"/>
      <c r="T350" s="2"/>
      <c r="U350" s="2"/>
      <c r="V350" s="2"/>
      <c r="W350" s="2"/>
      <c r="X350" s="2"/>
      <c r="Y350" s="3"/>
      <c r="Z350" s="3"/>
      <c r="AA350" s="2"/>
      <c r="AB350" s="2"/>
      <c r="AC350" s="2"/>
      <c r="AD350" s="2"/>
      <c r="AE350" s="2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4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</row>
    <row r="351" ht="15.75">
      <c r="A351" s="3"/>
      <c r="B351" s="2"/>
      <c r="C351" s="2"/>
      <c r="D351" s="2"/>
      <c r="E351" s="2"/>
      <c r="F351" s="2"/>
      <c r="G351" s="2"/>
      <c r="H351" s="2"/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2"/>
      <c r="T351" s="2"/>
      <c r="U351" s="2"/>
      <c r="V351" s="2"/>
      <c r="W351" s="2"/>
      <c r="X351" s="2"/>
      <c r="Y351" s="3"/>
      <c r="Z351" s="3"/>
      <c r="AA351" s="2"/>
      <c r="AB351" s="2"/>
      <c r="AC351" s="2"/>
      <c r="AD351" s="2"/>
      <c r="AE351" s="2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4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</row>
    <row r="352" ht="15.75">
      <c r="A352" s="3"/>
      <c r="B352" s="2"/>
      <c r="C352" s="2"/>
      <c r="D352" s="2"/>
      <c r="E352" s="2"/>
      <c r="F352" s="2"/>
      <c r="G352" s="2"/>
      <c r="H352" s="2"/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2"/>
      <c r="T352" s="2"/>
      <c r="U352" s="2"/>
      <c r="V352" s="2"/>
      <c r="W352" s="2"/>
      <c r="X352" s="2"/>
      <c r="Y352" s="3"/>
      <c r="Z352" s="3"/>
      <c r="AA352" s="2"/>
      <c r="AB352" s="2"/>
      <c r="AC352" s="2"/>
      <c r="AD352" s="2"/>
      <c r="AE352" s="2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4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</row>
    <row r="353" ht="15.75">
      <c r="A353" s="3"/>
      <c r="B353" s="2"/>
      <c r="C353" s="2"/>
      <c r="D353" s="2"/>
      <c r="E353" s="2"/>
      <c r="F353" s="2"/>
      <c r="G353" s="2"/>
      <c r="H353" s="2"/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2"/>
      <c r="T353" s="2"/>
      <c r="U353" s="2"/>
      <c r="V353" s="2"/>
      <c r="W353" s="2"/>
      <c r="X353" s="2"/>
      <c r="Y353" s="3"/>
      <c r="Z353" s="3"/>
      <c r="AA353" s="2"/>
      <c r="AB353" s="2"/>
      <c r="AC353" s="2"/>
      <c r="AD353" s="2"/>
      <c r="AE353" s="2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4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</row>
    <row r="354" ht="15.75">
      <c r="A354" s="3"/>
      <c r="B354" s="2"/>
      <c r="C354" s="2"/>
      <c r="D354" s="2"/>
      <c r="E354" s="2"/>
      <c r="F354" s="2"/>
      <c r="G354" s="2"/>
      <c r="H354" s="2"/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2"/>
      <c r="T354" s="2"/>
      <c r="U354" s="2"/>
      <c r="V354" s="2"/>
      <c r="W354" s="2"/>
      <c r="X354" s="2"/>
      <c r="Y354" s="3"/>
      <c r="Z354" s="3"/>
      <c r="AA354" s="2"/>
      <c r="AB354" s="2"/>
      <c r="AC354" s="2"/>
      <c r="AD354" s="2"/>
      <c r="AE354" s="2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4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</row>
    <row r="355" ht="15.75">
      <c r="A355" s="3"/>
      <c r="B355" s="2"/>
      <c r="C355" s="2"/>
      <c r="D355" s="2"/>
      <c r="E355" s="2"/>
      <c r="F355" s="2"/>
      <c r="G355" s="2"/>
      <c r="H355" s="2"/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2"/>
      <c r="T355" s="2"/>
      <c r="U355" s="2"/>
      <c r="V355" s="2"/>
      <c r="W355" s="2"/>
      <c r="X355" s="2"/>
      <c r="Y355" s="3"/>
      <c r="Z355" s="3"/>
      <c r="AA355" s="2"/>
      <c r="AB355" s="2"/>
      <c r="AC355" s="2"/>
      <c r="AD355" s="2"/>
      <c r="AE355" s="2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4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</row>
    <row r="356" ht="15.75">
      <c r="A356" s="3"/>
      <c r="B356" s="2"/>
      <c r="C356" s="2"/>
      <c r="D356" s="2"/>
      <c r="E356" s="2"/>
      <c r="F356" s="2"/>
      <c r="G356" s="2"/>
      <c r="H356" s="2"/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2"/>
      <c r="T356" s="2"/>
      <c r="U356" s="2"/>
      <c r="V356" s="2"/>
      <c r="W356" s="2"/>
      <c r="X356" s="2"/>
      <c r="Y356" s="3"/>
      <c r="Z356" s="3"/>
      <c r="AA356" s="2"/>
      <c r="AB356" s="2"/>
      <c r="AC356" s="2"/>
      <c r="AD356" s="2"/>
      <c r="AE356" s="2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4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</row>
    <row r="357" ht="15.75">
      <c r="A357" s="3"/>
      <c r="B357" s="2"/>
      <c r="C357" s="2"/>
      <c r="D357" s="2"/>
      <c r="E357" s="2"/>
      <c r="F357" s="2"/>
      <c r="G357" s="2"/>
      <c r="H357" s="2"/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2"/>
      <c r="T357" s="2"/>
      <c r="U357" s="2"/>
      <c r="V357" s="2"/>
      <c r="W357" s="2"/>
      <c r="X357" s="2"/>
      <c r="Y357" s="3"/>
      <c r="Z357" s="3"/>
      <c r="AA357" s="2"/>
      <c r="AB357" s="2"/>
      <c r="AC357" s="2"/>
      <c r="AD357" s="2"/>
      <c r="AE357" s="2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4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</row>
    <row r="358" ht="15.75">
      <c r="A358" s="3"/>
      <c r="B358" s="2"/>
      <c r="C358" s="2"/>
      <c r="D358" s="2"/>
      <c r="E358" s="2"/>
      <c r="F358" s="2"/>
      <c r="G358" s="2"/>
      <c r="H358" s="2"/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2"/>
      <c r="T358" s="2"/>
      <c r="U358" s="2"/>
      <c r="V358" s="2"/>
      <c r="W358" s="2"/>
      <c r="X358" s="2"/>
      <c r="Y358" s="3"/>
      <c r="Z358" s="3"/>
      <c r="AA358" s="2"/>
      <c r="AB358" s="2"/>
      <c r="AC358" s="2"/>
      <c r="AD358" s="2"/>
      <c r="AE358" s="2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4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</row>
    <row r="359" ht="15.75">
      <c r="A359" s="3"/>
      <c r="B359" s="2"/>
      <c r="C359" s="2"/>
      <c r="D359" s="2"/>
      <c r="E359" s="2"/>
      <c r="F359" s="2"/>
      <c r="G359" s="2"/>
      <c r="H359" s="2"/>
      <c r="I359" s="2"/>
      <c r="J359" s="3"/>
      <c r="K359" s="3"/>
      <c r="L359" s="3"/>
      <c r="M359" s="3"/>
      <c r="N359" s="3"/>
      <c r="O359" s="3"/>
      <c r="P359" s="3"/>
      <c r="Q359" s="3"/>
      <c r="R359" s="3"/>
      <c r="S359" s="2"/>
      <c r="T359" s="2"/>
      <c r="U359" s="2"/>
      <c r="V359" s="2"/>
      <c r="W359" s="2"/>
      <c r="X359" s="2"/>
      <c r="Y359" s="3"/>
      <c r="Z359" s="3"/>
      <c r="AA359" s="2"/>
      <c r="AB359" s="2"/>
      <c r="AC359" s="2"/>
      <c r="AD359" s="2"/>
      <c r="AE359" s="2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4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</row>
    <row r="360" ht="15.75">
      <c r="A360" s="3"/>
      <c r="B360" s="2"/>
      <c r="C360" s="2"/>
      <c r="D360" s="2"/>
      <c r="E360" s="2"/>
      <c r="F360" s="2"/>
      <c r="G360" s="2"/>
      <c r="H360" s="2"/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2"/>
      <c r="T360" s="2"/>
      <c r="U360" s="2"/>
      <c r="V360" s="2"/>
      <c r="W360" s="2"/>
      <c r="X360" s="2"/>
      <c r="Y360" s="3"/>
      <c r="Z360" s="3"/>
      <c r="AA360" s="2"/>
      <c r="AB360" s="2"/>
      <c r="AC360" s="2"/>
      <c r="AD360" s="2"/>
      <c r="AE360" s="2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4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</row>
    <row r="361" ht="15.75">
      <c r="A361" s="3"/>
      <c r="B361" s="2"/>
      <c r="C361" s="2"/>
      <c r="D361" s="2"/>
      <c r="E361" s="2"/>
      <c r="F361" s="2"/>
      <c r="G361" s="2"/>
      <c r="H361" s="2"/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2"/>
      <c r="T361" s="2"/>
      <c r="U361" s="2"/>
      <c r="V361" s="2"/>
      <c r="W361" s="2"/>
      <c r="X361" s="2"/>
      <c r="Y361" s="3"/>
      <c r="Z361" s="3"/>
      <c r="AA361" s="2"/>
      <c r="AB361" s="2"/>
      <c r="AC361" s="2"/>
      <c r="AD361" s="2"/>
      <c r="AE361" s="2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4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</row>
    <row r="362" ht="15.75">
      <c r="A362" s="3"/>
      <c r="B362" s="2"/>
      <c r="C362" s="2"/>
      <c r="D362" s="2"/>
      <c r="E362" s="2"/>
      <c r="F362" s="2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2"/>
      <c r="T362" s="2"/>
      <c r="U362" s="2"/>
      <c r="V362" s="2"/>
      <c r="W362" s="2"/>
      <c r="X362" s="2"/>
      <c r="Y362" s="3"/>
      <c r="Z362" s="3"/>
      <c r="AA362" s="2"/>
      <c r="AB362" s="2"/>
      <c r="AC362" s="2"/>
      <c r="AD362" s="2"/>
      <c r="AE362" s="2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4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</row>
    <row r="363" ht="15.75">
      <c r="A363" s="3"/>
      <c r="B363" s="2"/>
      <c r="C363" s="2"/>
      <c r="D363" s="2"/>
      <c r="E363" s="2"/>
      <c r="F363" s="2"/>
      <c r="G363" s="2"/>
      <c r="H363" s="2"/>
      <c r="I363" s="2"/>
      <c r="J363" s="3"/>
      <c r="K363" s="3"/>
      <c r="L363" s="3"/>
      <c r="M363" s="3"/>
      <c r="N363" s="3"/>
      <c r="O363" s="3"/>
      <c r="P363" s="3"/>
      <c r="Q363" s="3"/>
      <c r="R363" s="3"/>
      <c r="S363" s="2"/>
      <c r="T363" s="2"/>
      <c r="U363" s="2"/>
      <c r="V363" s="2"/>
      <c r="W363" s="2"/>
      <c r="X363" s="2"/>
      <c r="Y363" s="3"/>
      <c r="Z363" s="3"/>
      <c r="AA363" s="2"/>
      <c r="AB363" s="2"/>
      <c r="AC363" s="2"/>
      <c r="AD363" s="2"/>
      <c r="AE363" s="2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4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</row>
    <row r="364" ht="15.75">
      <c r="A364" s="3"/>
      <c r="B364" s="2"/>
      <c r="C364" s="2"/>
      <c r="D364" s="2"/>
      <c r="E364" s="2"/>
      <c r="F364" s="2"/>
      <c r="G364" s="2"/>
      <c r="H364" s="2"/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2"/>
      <c r="T364" s="2"/>
      <c r="U364" s="2"/>
      <c r="V364" s="2"/>
      <c r="W364" s="2"/>
      <c r="X364" s="2"/>
      <c r="Y364" s="3"/>
      <c r="Z364" s="3"/>
      <c r="AA364" s="2"/>
      <c r="AB364" s="2"/>
      <c r="AC364" s="2"/>
      <c r="AD364" s="2"/>
      <c r="AE364" s="2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4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</row>
    <row r="365" ht="15.75">
      <c r="A365" s="3"/>
      <c r="B365" s="2"/>
      <c r="C365" s="2"/>
      <c r="D365" s="2"/>
      <c r="E365" s="2"/>
      <c r="F365" s="2"/>
      <c r="G365" s="2"/>
      <c r="H365" s="2"/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2"/>
      <c r="T365" s="2"/>
      <c r="U365" s="2"/>
      <c r="V365" s="2"/>
      <c r="W365" s="2"/>
      <c r="X365" s="2"/>
      <c r="Y365" s="3"/>
      <c r="Z365" s="3"/>
      <c r="AA365" s="2"/>
      <c r="AB365" s="2"/>
      <c r="AC365" s="2"/>
      <c r="AD365" s="2"/>
      <c r="AE365" s="2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4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</row>
    <row r="366" ht="15.75">
      <c r="A366" s="3"/>
      <c r="B366" s="2"/>
      <c r="C366" s="2"/>
      <c r="D366" s="2"/>
      <c r="E366" s="2"/>
      <c r="F366" s="2"/>
      <c r="G366" s="2"/>
      <c r="H366" s="2"/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2"/>
      <c r="T366" s="2"/>
      <c r="U366" s="2"/>
      <c r="V366" s="2"/>
      <c r="W366" s="2"/>
      <c r="X366" s="2"/>
      <c r="Y366" s="3"/>
      <c r="Z366" s="3"/>
      <c r="AA366" s="2"/>
      <c r="AB366" s="2"/>
      <c r="AC366" s="2"/>
      <c r="AD366" s="2"/>
      <c r="AE366" s="2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4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</row>
    <row r="367" ht="15.75">
      <c r="A367" s="3"/>
      <c r="B367" s="2"/>
      <c r="C367" s="2"/>
      <c r="D367" s="2"/>
      <c r="E367" s="2"/>
      <c r="F367" s="2"/>
      <c r="G367" s="2"/>
      <c r="H367" s="2"/>
      <c r="I367" s="2"/>
      <c r="J367" s="3"/>
      <c r="K367" s="3"/>
      <c r="L367" s="3"/>
      <c r="M367" s="3"/>
      <c r="N367" s="3"/>
      <c r="O367" s="3"/>
      <c r="P367" s="3"/>
      <c r="Q367" s="3"/>
      <c r="R367" s="3"/>
      <c r="S367" s="2"/>
      <c r="T367" s="2"/>
      <c r="U367" s="2"/>
      <c r="V367" s="2"/>
      <c r="W367" s="2"/>
      <c r="X367" s="2"/>
      <c r="Y367" s="3"/>
      <c r="Z367" s="3"/>
      <c r="AA367" s="2"/>
      <c r="AB367" s="2"/>
      <c r="AC367" s="2"/>
      <c r="AD367" s="2"/>
      <c r="AE367" s="2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4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</row>
    <row r="368" ht="15.75">
      <c r="A368" s="3"/>
      <c r="B368" s="2"/>
      <c r="C368" s="2"/>
      <c r="D368" s="2"/>
      <c r="E368" s="2"/>
      <c r="F368" s="2"/>
      <c r="G368" s="2"/>
      <c r="H368" s="2"/>
      <c r="I368" s="2"/>
      <c r="J368" s="3"/>
      <c r="K368" s="3"/>
      <c r="L368" s="3"/>
      <c r="M368" s="3"/>
      <c r="N368" s="3"/>
      <c r="O368" s="3"/>
      <c r="P368" s="3"/>
      <c r="Q368" s="3"/>
      <c r="R368" s="3"/>
      <c r="S368" s="2"/>
      <c r="T368" s="2"/>
      <c r="U368" s="2"/>
      <c r="V368" s="2"/>
      <c r="W368" s="2"/>
      <c r="X368" s="2"/>
      <c r="Y368" s="3"/>
      <c r="Z368" s="3"/>
      <c r="AA368" s="2"/>
      <c r="AB368" s="2"/>
      <c r="AC368" s="2"/>
      <c r="AD368" s="2"/>
      <c r="AE368" s="2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4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</row>
    <row r="369" ht="15.75">
      <c r="A369" s="3"/>
      <c r="B369" s="2"/>
      <c r="C369" s="2"/>
      <c r="D369" s="2"/>
      <c r="E369" s="2"/>
      <c r="F369" s="2"/>
      <c r="G369" s="2"/>
      <c r="H369" s="2"/>
      <c r="I369" s="2"/>
      <c r="J369" s="3"/>
      <c r="K369" s="3"/>
      <c r="L369" s="3"/>
      <c r="M369" s="3"/>
      <c r="N369" s="3"/>
      <c r="O369" s="3"/>
      <c r="P369" s="3"/>
      <c r="Q369" s="3"/>
      <c r="R369" s="3"/>
      <c r="S369" s="2"/>
      <c r="T369" s="2"/>
      <c r="U369" s="2"/>
      <c r="V369" s="2"/>
      <c r="W369" s="2"/>
      <c r="X369" s="2"/>
      <c r="Y369" s="3"/>
      <c r="Z369" s="3"/>
      <c r="AA369" s="2"/>
      <c r="AB369" s="2"/>
      <c r="AC369" s="2"/>
      <c r="AD369" s="2"/>
      <c r="AE369" s="2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4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</row>
    <row r="370" ht="15.75">
      <c r="A370" s="3"/>
      <c r="B370" s="2"/>
      <c r="C370" s="2"/>
      <c r="D370" s="2"/>
      <c r="E370" s="2"/>
      <c r="F370" s="2"/>
      <c r="G370" s="2"/>
      <c r="H370" s="2"/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2"/>
      <c r="T370" s="2"/>
      <c r="U370" s="2"/>
      <c r="V370" s="2"/>
      <c r="W370" s="2"/>
      <c r="X370" s="2"/>
      <c r="Y370" s="3"/>
      <c r="Z370" s="3"/>
      <c r="AA370" s="2"/>
      <c r="AB370" s="2"/>
      <c r="AC370" s="2"/>
      <c r="AD370" s="2"/>
      <c r="AE370" s="2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4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</row>
    <row r="371" ht="15.75">
      <c r="A371" s="3"/>
      <c r="B371" s="2"/>
      <c r="C371" s="2"/>
      <c r="D371" s="2"/>
      <c r="E371" s="2"/>
      <c r="F371" s="2"/>
      <c r="G371" s="2"/>
      <c r="H371" s="2"/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2"/>
      <c r="T371" s="2"/>
      <c r="U371" s="2"/>
      <c r="V371" s="2"/>
      <c r="W371" s="2"/>
      <c r="X371" s="2"/>
      <c r="Y371" s="3"/>
      <c r="Z371" s="3"/>
      <c r="AA371" s="2"/>
      <c r="AB371" s="2"/>
      <c r="AC371" s="2"/>
      <c r="AD371" s="2"/>
      <c r="AE371" s="2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4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</row>
    <row r="372" ht="15.75">
      <c r="A372" s="3"/>
      <c r="B372" s="2"/>
      <c r="C372" s="2"/>
      <c r="D372" s="2"/>
      <c r="E372" s="2"/>
      <c r="F372" s="2"/>
      <c r="G372" s="2"/>
      <c r="H372" s="2"/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2"/>
      <c r="T372" s="2"/>
      <c r="U372" s="2"/>
      <c r="V372" s="2"/>
      <c r="W372" s="2"/>
      <c r="X372" s="2"/>
      <c r="Y372" s="3"/>
      <c r="Z372" s="3"/>
      <c r="AA372" s="2"/>
      <c r="AB372" s="2"/>
      <c r="AC372" s="2"/>
      <c r="AD372" s="2"/>
      <c r="AE372" s="2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4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</row>
    <row r="373" ht="15.75">
      <c r="A373" s="3"/>
      <c r="B373" s="2"/>
      <c r="C373" s="2"/>
      <c r="D373" s="2"/>
      <c r="E373" s="2"/>
      <c r="F373" s="2"/>
      <c r="G373" s="2"/>
      <c r="H373" s="2"/>
      <c r="I373" s="2"/>
      <c r="J373" s="3"/>
      <c r="K373" s="3"/>
      <c r="L373" s="3"/>
      <c r="M373" s="3"/>
      <c r="N373" s="3"/>
      <c r="O373" s="3"/>
      <c r="P373" s="3"/>
      <c r="Q373" s="3"/>
      <c r="R373" s="3"/>
      <c r="S373" s="2"/>
      <c r="T373" s="2"/>
      <c r="U373" s="2"/>
      <c r="V373" s="2"/>
      <c r="W373" s="2"/>
      <c r="X373" s="2"/>
      <c r="Y373" s="3"/>
      <c r="Z373" s="3"/>
      <c r="AA373" s="2"/>
      <c r="AB373" s="2"/>
      <c r="AC373" s="2"/>
      <c r="AD373" s="2"/>
      <c r="AE373" s="2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4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</row>
    <row r="374" ht="15.75">
      <c r="A374" s="3"/>
      <c r="B374" s="2"/>
      <c r="C374" s="2"/>
      <c r="D374" s="2"/>
      <c r="E374" s="2"/>
      <c r="F374" s="2"/>
      <c r="G374" s="2"/>
      <c r="H374" s="2"/>
      <c r="I374" s="2"/>
      <c r="J374" s="3"/>
      <c r="K374" s="3"/>
      <c r="L374" s="3"/>
      <c r="M374" s="3"/>
      <c r="N374" s="3"/>
      <c r="O374" s="3"/>
      <c r="P374" s="3"/>
      <c r="Q374" s="3"/>
      <c r="R374" s="3"/>
      <c r="S374" s="2"/>
      <c r="T374" s="2"/>
      <c r="U374" s="2"/>
      <c r="V374" s="2"/>
      <c r="W374" s="2"/>
      <c r="X374" s="2"/>
      <c r="Y374" s="3"/>
      <c r="Z374" s="3"/>
      <c r="AA374" s="2"/>
      <c r="AB374" s="2"/>
      <c r="AC374" s="2"/>
      <c r="AD374" s="2"/>
      <c r="AE374" s="2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4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</row>
    <row r="375" ht="15.75">
      <c r="A375" s="3"/>
      <c r="B375" s="2"/>
      <c r="C375" s="2"/>
      <c r="D375" s="2"/>
      <c r="E375" s="2"/>
      <c r="F375" s="2"/>
      <c r="G375" s="2"/>
      <c r="H375" s="2"/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2"/>
      <c r="T375" s="2"/>
      <c r="U375" s="2"/>
      <c r="V375" s="2"/>
      <c r="W375" s="2"/>
      <c r="X375" s="2"/>
      <c r="Y375" s="3"/>
      <c r="Z375" s="3"/>
      <c r="AA375" s="2"/>
      <c r="AB375" s="2"/>
      <c r="AC375" s="2"/>
      <c r="AD375" s="2"/>
      <c r="AE375" s="2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4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</row>
    <row r="376" ht="15.75">
      <c r="A376" s="3"/>
      <c r="B376" s="2"/>
      <c r="C376" s="2"/>
      <c r="D376" s="2"/>
      <c r="E376" s="2"/>
      <c r="F376" s="2"/>
      <c r="G376" s="2"/>
      <c r="H376" s="2"/>
      <c r="I376" s="2"/>
      <c r="J376" s="3"/>
      <c r="K376" s="3"/>
      <c r="L376" s="3"/>
      <c r="M376" s="3"/>
      <c r="N376" s="3"/>
      <c r="O376" s="3"/>
      <c r="P376" s="3"/>
      <c r="Q376" s="3"/>
      <c r="R376" s="3"/>
      <c r="S376" s="2"/>
      <c r="T376" s="2"/>
      <c r="U376" s="2"/>
      <c r="V376" s="2"/>
      <c r="W376" s="2"/>
      <c r="X376" s="2"/>
      <c r="Y376" s="3"/>
      <c r="Z376" s="3"/>
      <c r="AA376" s="2"/>
      <c r="AB376" s="2"/>
      <c r="AC376" s="2"/>
      <c r="AD376" s="2"/>
      <c r="AE376" s="2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4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</row>
    <row r="377" ht="15.75">
      <c r="A377" s="3"/>
      <c r="B377" s="2"/>
      <c r="C377" s="2"/>
      <c r="D377" s="2"/>
      <c r="E377" s="2"/>
      <c r="F377" s="2"/>
      <c r="G377" s="2"/>
      <c r="H377" s="2"/>
      <c r="I377" s="2"/>
      <c r="J377" s="3"/>
      <c r="K377" s="3"/>
      <c r="L377" s="3"/>
      <c r="M377" s="3"/>
      <c r="N377" s="3"/>
      <c r="O377" s="3"/>
      <c r="P377" s="3"/>
      <c r="Q377" s="3"/>
      <c r="R377" s="3"/>
      <c r="S377" s="2"/>
      <c r="T377" s="2"/>
      <c r="U377" s="2"/>
      <c r="V377" s="2"/>
      <c r="W377" s="2"/>
      <c r="X377" s="2"/>
      <c r="Y377" s="3"/>
      <c r="Z377" s="3"/>
      <c r="AA377" s="2"/>
      <c r="AB377" s="2"/>
      <c r="AC377" s="2"/>
      <c r="AD377" s="2"/>
      <c r="AE377" s="2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4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</row>
    <row r="378" ht="15.75">
      <c r="A378" s="3"/>
      <c r="B378" s="2"/>
      <c r="C378" s="2"/>
      <c r="D378" s="2"/>
      <c r="E378" s="2"/>
      <c r="F378" s="2"/>
      <c r="G378" s="2"/>
      <c r="H378" s="2"/>
      <c r="I378" s="2"/>
      <c r="J378" s="3"/>
      <c r="K378" s="3"/>
      <c r="L378" s="3"/>
      <c r="M378" s="3"/>
      <c r="N378" s="3"/>
      <c r="O378" s="3"/>
      <c r="P378" s="3"/>
      <c r="Q378" s="3"/>
      <c r="R378" s="3"/>
      <c r="S378" s="2"/>
      <c r="T378" s="2"/>
      <c r="U378" s="2"/>
      <c r="V378" s="2"/>
      <c r="W378" s="2"/>
      <c r="X378" s="2"/>
      <c r="Y378" s="3"/>
      <c r="Z378" s="3"/>
      <c r="AA378" s="2"/>
      <c r="AB378" s="2"/>
      <c r="AC378" s="2"/>
      <c r="AD378" s="2"/>
      <c r="AE378" s="2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4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</row>
    <row r="379" ht="15.75">
      <c r="A379" s="3"/>
      <c r="B379" s="2"/>
      <c r="C379" s="2"/>
      <c r="D379" s="2"/>
      <c r="E379" s="2"/>
      <c r="F379" s="2"/>
      <c r="G379" s="2"/>
      <c r="H379" s="2"/>
      <c r="I379" s="2"/>
      <c r="J379" s="3"/>
      <c r="K379" s="3"/>
      <c r="L379" s="3"/>
      <c r="M379" s="3"/>
      <c r="N379" s="3"/>
      <c r="O379" s="3"/>
      <c r="P379" s="3"/>
      <c r="Q379" s="3"/>
      <c r="R379" s="3"/>
      <c r="S379" s="2"/>
      <c r="T379" s="2"/>
      <c r="U379" s="2"/>
      <c r="V379" s="2"/>
      <c r="W379" s="2"/>
      <c r="X379" s="2"/>
      <c r="Y379" s="3"/>
      <c r="Z379" s="3"/>
      <c r="AA379" s="2"/>
      <c r="AB379" s="2"/>
      <c r="AC379" s="2"/>
      <c r="AD379" s="2"/>
      <c r="AE379" s="2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4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</row>
    <row r="380" ht="15.75">
      <c r="A380" s="3"/>
      <c r="B380" s="2"/>
      <c r="C380" s="2"/>
      <c r="D380" s="2"/>
      <c r="E380" s="2"/>
      <c r="F380" s="2"/>
      <c r="G380" s="2"/>
      <c r="H380" s="2"/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2"/>
      <c r="T380" s="2"/>
      <c r="U380" s="2"/>
      <c r="V380" s="2"/>
      <c r="W380" s="2"/>
      <c r="X380" s="2"/>
      <c r="Y380" s="3"/>
      <c r="Z380" s="3"/>
      <c r="AA380" s="2"/>
      <c r="AB380" s="2"/>
      <c r="AC380" s="2"/>
      <c r="AD380" s="2"/>
      <c r="AE380" s="2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4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</row>
    <row r="381" ht="15.75">
      <c r="A381" s="3"/>
      <c r="B381" s="2"/>
      <c r="C381" s="2"/>
      <c r="D381" s="2"/>
      <c r="E381" s="2"/>
      <c r="F381" s="2"/>
      <c r="G381" s="2"/>
      <c r="H381" s="2"/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2"/>
      <c r="T381" s="2"/>
      <c r="U381" s="2"/>
      <c r="V381" s="2"/>
      <c r="W381" s="2"/>
      <c r="X381" s="2"/>
      <c r="Y381" s="3"/>
      <c r="Z381" s="3"/>
      <c r="AA381" s="2"/>
      <c r="AB381" s="2"/>
      <c r="AC381" s="2"/>
      <c r="AD381" s="2"/>
      <c r="AE381" s="2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4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</row>
    <row r="382" ht="15.75">
      <c r="A382" s="3"/>
      <c r="B382" s="2"/>
      <c r="C382" s="2"/>
      <c r="D382" s="2"/>
      <c r="E382" s="2"/>
      <c r="F382" s="2"/>
      <c r="G382" s="2"/>
      <c r="H382" s="2"/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2"/>
      <c r="T382" s="2"/>
      <c r="U382" s="2"/>
      <c r="V382" s="2"/>
      <c r="W382" s="2"/>
      <c r="X382" s="2"/>
      <c r="Y382" s="3"/>
      <c r="Z382" s="3"/>
      <c r="AA382" s="2"/>
      <c r="AB382" s="2"/>
      <c r="AC382" s="2"/>
      <c r="AD382" s="2"/>
      <c r="AE382" s="2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4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</row>
    <row r="383" ht="15.75">
      <c r="A383" s="3"/>
      <c r="B383" s="2"/>
      <c r="C383" s="2"/>
      <c r="D383" s="2"/>
      <c r="E383" s="2"/>
      <c r="F383" s="2"/>
      <c r="G383" s="2"/>
      <c r="H383" s="2"/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2"/>
      <c r="T383" s="2"/>
      <c r="U383" s="2"/>
      <c r="V383" s="2"/>
      <c r="W383" s="2"/>
      <c r="X383" s="2"/>
      <c r="Y383" s="3"/>
      <c r="Z383" s="3"/>
      <c r="AA383" s="2"/>
      <c r="AB383" s="2"/>
      <c r="AC383" s="2"/>
      <c r="AD383" s="2"/>
      <c r="AE383" s="2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4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</row>
    <row r="384" ht="15.75">
      <c r="A384" s="3"/>
      <c r="B384" s="2"/>
      <c r="C384" s="2"/>
      <c r="D384" s="2"/>
      <c r="E384" s="2"/>
      <c r="F384" s="2"/>
      <c r="G384" s="2"/>
      <c r="H384" s="2"/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2"/>
      <c r="T384" s="2"/>
      <c r="U384" s="2"/>
      <c r="V384" s="2"/>
      <c r="W384" s="2"/>
      <c r="X384" s="2"/>
      <c r="Y384" s="3"/>
      <c r="Z384" s="3"/>
      <c r="AA384" s="2"/>
      <c r="AB384" s="2"/>
      <c r="AC384" s="2"/>
      <c r="AD384" s="2"/>
      <c r="AE384" s="2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4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</row>
    <row r="385" ht="15.75">
      <c r="A385" s="3"/>
      <c r="B385" s="2"/>
      <c r="C385" s="2"/>
      <c r="D385" s="2"/>
      <c r="E385" s="2"/>
      <c r="F385" s="2"/>
      <c r="G385" s="2"/>
      <c r="H385" s="2"/>
      <c r="I385" s="2"/>
      <c r="J385" s="3"/>
      <c r="K385" s="3"/>
      <c r="L385" s="3"/>
      <c r="M385" s="3"/>
      <c r="N385" s="3"/>
      <c r="O385" s="3"/>
      <c r="P385" s="3"/>
      <c r="Q385" s="3"/>
      <c r="R385" s="3"/>
      <c r="S385" s="2"/>
      <c r="T385" s="2"/>
      <c r="U385" s="2"/>
      <c r="V385" s="2"/>
      <c r="W385" s="2"/>
      <c r="X385" s="2"/>
      <c r="Y385" s="3"/>
      <c r="Z385" s="3"/>
      <c r="AA385" s="2"/>
      <c r="AB385" s="2"/>
      <c r="AC385" s="2"/>
      <c r="AD385" s="2"/>
      <c r="AE385" s="2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4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</row>
    <row r="386" ht="15.75">
      <c r="A386" s="3"/>
      <c r="B386" s="2"/>
      <c r="C386" s="2"/>
      <c r="D386" s="2"/>
      <c r="E386" s="2"/>
      <c r="F386" s="2"/>
      <c r="G386" s="2"/>
      <c r="H386" s="2"/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2"/>
      <c r="T386" s="2"/>
      <c r="U386" s="2"/>
      <c r="V386" s="2"/>
      <c r="W386" s="2"/>
      <c r="X386" s="2"/>
      <c r="Y386" s="3"/>
      <c r="Z386" s="3"/>
      <c r="AA386" s="2"/>
      <c r="AB386" s="2"/>
      <c r="AC386" s="2"/>
      <c r="AD386" s="2"/>
      <c r="AE386" s="2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4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</row>
    <row r="387" ht="15.75">
      <c r="A387" s="3"/>
      <c r="B387" s="2"/>
      <c r="C387" s="2"/>
      <c r="D387" s="2"/>
      <c r="E387" s="2"/>
      <c r="F387" s="2"/>
      <c r="G387" s="2"/>
      <c r="H387" s="2"/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2"/>
      <c r="T387" s="2"/>
      <c r="U387" s="2"/>
      <c r="V387" s="2"/>
      <c r="W387" s="2"/>
      <c r="X387" s="2"/>
      <c r="Y387" s="3"/>
      <c r="Z387" s="3"/>
      <c r="AA387" s="2"/>
      <c r="AB387" s="2"/>
      <c r="AC387" s="2"/>
      <c r="AD387" s="2"/>
      <c r="AE387" s="2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4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</row>
    <row r="388" ht="15.75">
      <c r="A388" s="3"/>
      <c r="B388" s="2"/>
      <c r="C388" s="2"/>
      <c r="D388" s="2"/>
      <c r="E388" s="2"/>
      <c r="F388" s="2"/>
      <c r="G388" s="2"/>
      <c r="H388" s="2"/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2"/>
      <c r="T388" s="2"/>
      <c r="U388" s="2"/>
      <c r="V388" s="2"/>
      <c r="W388" s="2"/>
      <c r="X388" s="2"/>
      <c r="Y388" s="3"/>
      <c r="Z388" s="3"/>
      <c r="AA388" s="2"/>
      <c r="AB388" s="2"/>
      <c r="AC388" s="2"/>
      <c r="AD388" s="2"/>
      <c r="AE388" s="2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4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</row>
    <row r="389" ht="15.75">
      <c r="A389" s="3"/>
      <c r="B389" s="2"/>
      <c r="C389" s="2"/>
      <c r="D389" s="2"/>
      <c r="E389" s="2"/>
      <c r="F389" s="2"/>
      <c r="G389" s="2"/>
      <c r="H389" s="2"/>
      <c r="I389" s="2"/>
      <c r="J389" s="3"/>
      <c r="K389" s="3"/>
      <c r="L389" s="3"/>
      <c r="M389" s="3"/>
      <c r="N389" s="3"/>
      <c r="O389" s="3"/>
      <c r="P389" s="3"/>
      <c r="Q389" s="3"/>
      <c r="R389" s="3"/>
      <c r="S389" s="2"/>
      <c r="T389" s="2"/>
      <c r="U389" s="2"/>
      <c r="V389" s="2"/>
      <c r="W389" s="2"/>
      <c r="X389" s="2"/>
      <c r="Y389" s="3"/>
      <c r="Z389" s="3"/>
      <c r="AA389" s="2"/>
      <c r="AB389" s="2"/>
      <c r="AC389" s="2"/>
      <c r="AD389" s="2"/>
      <c r="AE389" s="2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4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</row>
    <row r="390" ht="15.75">
      <c r="A390" s="3"/>
      <c r="B390" s="2"/>
      <c r="C390" s="2"/>
      <c r="D390" s="2"/>
      <c r="E390" s="2"/>
      <c r="F390" s="2"/>
      <c r="G390" s="2"/>
      <c r="H390" s="2"/>
      <c r="I390" s="2"/>
      <c r="J390" s="3"/>
      <c r="K390" s="3"/>
      <c r="L390" s="3"/>
      <c r="M390" s="3"/>
      <c r="N390" s="3"/>
      <c r="O390" s="3"/>
      <c r="P390" s="3"/>
      <c r="Q390" s="3"/>
      <c r="R390" s="3"/>
      <c r="S390" s="2"/>
      <c r="T390" s="2"/>
      <c r="U390" s="2"/>
      <c r="V390" s="2"/>
      <c r="W390" s="2"/>
      <c r="X390" s="2"/>
      <c r="Y390" s="3"/>
      <c r="Z390" s="3"/>
      <c r="AA390" s="2"/>
      <c r="AB390" s="2"/>
      <c r="AC390" s="2"/>
      <c r="AD390" s="2"/>
      <c r="AE390" s="2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4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</row>
    <row r="391" ht="15.75">
      <c r="A391" s="3"/>
      <c r="B391" s="2"/>
      <c r="C391" s="2"/>
      <c r="D391" s="2"/>
      <c r="E391" s="2"/>
      <c r="F391" s="2"/>
      <c r="G391" s="2"/>
      <c r="H391" s="2"/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2"/>
      <c r="T391" s="2"/>
      <c r="U391" s="2"/>
      <c r="V391" s="2"/>
      <c r="W391" s="2"/>
      <c r="X391" s="2"/>
      <c r="Y391" s="3"/>
      <c r="Z391" s="3"/>
      <c r="AA391" s="2"/>
      <c r="AB391" s="2"/>
      <c r="AC391" s="2"/>
      <c r="AD391" s="2"/>
      <c r="AE391" s="2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4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</row>
    <row r="392" ht="15.75">
      <c r="A392" s="3"/>
      <c r="B392" s="2"/>
      <c r="C392" s="2"/>
      <c r="D392" s="2"/>
      <c r="E392" s="2"/>
      <c r="F392" s="2"/>
      <c r="G392" s="2"/>
      <c r="H392" s="2"/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2"/>
      <c r="T392" s="2"/>
      <c r="U392" s="2"/>
      <c r="V392" s="2"/>
      <c r="W392" s="2"/>
      <c r="X392" s="2"/>
      <c r="Y392" s="3"/>
      <c r="Z392" s="3"/>
      <c r="AA392" s="2"/>
      <c r="AB392" s="2"/>
      <c r="AC392" s="2"/>
      <c r="AD392" s="2"/>
      <c r="AE392" s="2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4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</row>
    <row r="393" ht="15.75">
      <c r="A393" s="3"/>
      <c r="B393" s="2"/>
      <c r="C393" s="2"/>
      <c r="D393" s="2"/>
      <c r="E393" s="2"/>
      <c r="F393" s="2"/>
      <c r="G393" s="2"/>
      <c r="H393" s="2"/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2"/>
      <c r="T393" s="2"/>
      <c r="U393" s="2"/>
      <c r="V393" s="2"/>
      <c r="W393" s="2"/>
      <c r="X393" s="2"/>
      <c r="Y393" s="3"/>
      <c r="Z393" s="3"/>
      <c r="AA393" s="2"/>
      <c r="AB393" s="2"/>
      <c r="AC393" s="2"/>
      <c r="AD393" s="2"/>
      <c r="AE393" s="2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4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</row>
    <row r="394" ht="15.75">
      <c r="A394" s="3"/>
      <c r="B394" s="2"/>
      <c r="C394" s="2"/>
      <c r="D394" s="2"/>
      <c r="E394" s="2"/>
      <c r="F394" s="2"/>
      <c r="G394" s="2"/>
      <c r="H394" s="2"/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2"/>
      <c r="T394" s="2"/>
      <c r="U394" s="2"/>
      <c r="V394" s="2"/>
      <c r="W394" s="2"/>
      <c r="X394" s="2"/>
      <c r="Y394" s="3"/>
      <c r="Z394" s="3"/>
      <c r="AA394" s="2"/>
      <c r="AB394" s="2"/>
      <c r="AC394" s="2"/>
      <c r="AD394" s="2"/>
      <c r="AE394" s="2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4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</row>
    <row r="395" ht="15.75">
      <c r="A395" s="3"/>
      <c r="B395" s="2"/>
      <c r="C395" s="2"/>
      <c r="D395" s="2"/>
      <c r="E395" s="2"/>
      <c r="F395" s="2"/>
      <c r="G395" s="2"/>
      <c r="H395" s="2"/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2"/>
      <c r="T395" s="2"/>
      <c r="U395" s="2"/>
      <c r="V395" s="2"/>
      <c r="W395" s="2"/>
      <c r="X395" s="2"/>
      <c r="Y395" s="3"/>
      <c r="Z395" s="3"/>
      <c r="AA395" s="2"/>
      <c r="AB395" s="2"/>
      <c r="AC395" s="2"/>
      <c r="AD395" s="2"/>
      <c r="AE395" s="2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4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</row>
    <row r="396" ht="15.75">
      <c r="A396" s="3"/>
      <c r="B396" s="2"/>
      <c r="C396" s="2"/>
      <c r="D396" s="2"/>
      <c r="E396" s="2"/>
      <c r="F396" s="2"/>
      <c r="G396" s="2"/>
      <c r="H396" s="2"/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2"/>
      <c r="T396" s="2"/>
      <c r="U396" s="2"/>
      <c r="V396" s="2"/>
      <c r="W396" s="2"/>
      <c r="X396" s="2"/>
      <c r="Y396" s="3"/>
      <c r="Z396" s="3"/>
      <c r="AA396" s="2"/>
      <c r="AB396" s="2"/>
      <c r="AC396" s="2"/>
      <c r="AD396" s="2"/>
      <c r="AE396" s="2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4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</row>
    <row r="397" ht="15.75">
      <c r="A397" s="3"/>
      <c r="B397" s="2"/>
      <c r="C397" s="2"/>
      <c r="D397" s="2"/>
      <c r="E397" s="2"/>
      <c r="F397" s="2"/>
      <c r="G397" s="2"/>
      <c r="H397" s="2"/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2"/>
      <c r="T397" s="2"/>
      <c r="U397" s="2"/>
      <c r="V397" s="2"/>
      <c r="W397" s="2"/>
      <c r="X397" s="2"/>
      <c r="Y397" s="3"/>
      <c r="Z397" s="3"/>
      <c r="AA397" s="2"/>
      <c r="AB397" s="2"/>
      <c r="AC397" s="2"/>
      <c r="AD397" s="2"/>
      <c r="AE397" s="2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4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</row>
    <row r="398" ht="15.75">
      <c r="A398" s="3"/>
      <c r="B398" s="2"/>
      <c r="C398" s="2"/>
      <c r="D398" s="2"/>
      <c r="E398" s="2"/>
      <c r="F398" s="2"/>
      <c r="G398" s="2"/>
      <c r="H398" s="2"/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2"/>
      <c r="T398" s="2"/>
      <c r="U398" s="2"/>
      <c r="V398" s="2"/>
      <c r="W398" s="2"/>
      <c r="X398" s="2"/>
      <c r="Y398" s="3"/>
      <c r="Z398" s="3"/>
      <c r="AA398" s="2"/>
      <c r="AB398" s="2"/>
      <c r="AC398" s="2"/>
      <c r="AD398" s="2"/>
      <c r="AE398" s="2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4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</row>
    <row r="399" ht="15.75">
      <c r="A399" s="3"/>
      <c r="B399" s="2"/>
      <c r="C399" s="2"/>
      <c r="D399" s="2"/>
      <c r="E399" s="2"/>
      <c r="F399" s="2"/>
      <c r="G399" s="2"/>
      <c r="H399" s="2"/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2"/>
      <c r="T399" s="2"/>
      <c r="U399" s="2"/>
      <c r="V399" s="2"/>
      <c r="W399" s="2"/>
      <c r="X399" s="2"/>
      <c r="Y399" s="3"/>
      <c r="Z399" s="3"/>
      <c r="AA399" s="2"/>
      <c r="AB399" s="2"/>
      <c r="AC399" s="2"/>
      <c r="AD399" s="2"/>
      <c r="AE399" s="2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4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</row>
    <row r="400" ht="15.75">
      <c r="A400" s="3"/>
      <c r="B400" s="2"/>
      <c r="C400" s="2"/>
      <c r="D400" s="2"/>
      <c r="E400" s="2"/>
      <c r="F400" s="2"/>
      <c r="G400" s="2"/>
      <c r="H400" s="2"/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2"/>
      <c r="T400" s="2"/>
      <c r="U400" s="2"/>
      <c r="V400" s="2"/>
      <c r="W400" s="2"/>
      <c r="X400" s="2"/>
      <c r="Y400" s="3"/>
      <c r="Z400" s="3"/>
      <c r="AA400" s="2"/>
      <c r="AB400" s="2"/>
      <c r="AC400" s="2"/>
      <c r="AD400" s="2"/>
      <c r="AE400" s="2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4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</row>
    <row r="401" ht="15.75">
      <c r="A401" s="3"/>
      <c r="B401" s="2"/>
      <c r="C401" s="2"/>
      <c r="D401" s="2"/>
      <c r="E401" s="2"/>
      <c r="F401" s="2"/>
      <c r="G401" s="2"/>
      <c r="H401" s="2"/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2"/>
      <c r="T401" s="2"/>
      <c r="U401" s="2"/>
      <c r="V401" s="2"/>
      <c r="W401" s="2"/>
      <c r="X401" s="2"/>
      <c r="Y401" s="3"/>
      <c r="Z401" s="3"/>
      <c r="AA401" s="2"/>
      <c r="AB401" s="2"/>
      <c r="AC401" s="2"/>
      <c r="AD401" s="2"/>
      <c r="AE401" s="2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4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</row>
    <row r="402" ht="15.75">
      <c r="A402" s="3"/>
      <c r="B402" s="2"/>
      <c r="C402" s="2"/>
      <c r="D402" s="2"/>
      <c r="E402" s="2"/>
      <c r="F402" s="2"/>
      <c r="G402" s="2"/>
      <c r="H402" s="2"/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2"/>
      <c r="T402" s="2"/>
      <c r="U402" s="2"/>
      <c r="V402" s="2"/>
      <c r="W402" s="2"/>
      <c r="X402" s="2"/>
      <c r="Y402" s="3"/>
      <c r="Z402" s="3"/>
      <c r="AA402" s="2"/>
      <c r="AB402" s="2"/>
      <c r="AC402" s="2"/>
      <c r="AD402" s="2"/>
      <c r="AE402" s="2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4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</row>
    <row r="403" ht="15.75">
      <c r="A403" s="3"/>
      <c r="B403" s="2"/>
      <c r="C403" s="2"/>
      <c r="D403" s="2"/>
      <c r="E403" s="2"/>
      <c r="F403" s="2"/>
      <c r="G403" s="2"/>
      <c r="H403" s="2"/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2"/>
      <c r="T403" s="2"/>
      <c r="U403" s="2"/>
      <c r="V403" s="2"/>
      <c r="W403" s="2"/>
      <c r="X403" s="2"/>
      <c r="Y403" s="3"/>
      <c r="Z403" s="3"/>
      <c r="AA403" s="2"/>
      <c r="AB403" s="2"/>
      <c r="AC403" s="2"/>
      <c r="AD403" s="2"/>
      <c r="AE403" s="2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4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</row>
    <row r="404" ht="15.75">
      <c r="A404" s="3"/>
      <c r="B404" s="2"/>
      <c r="C404" s="2"/>
      <c r="D404" s="2"/>
      <c r="E404" s="2"/>
      <c r="F404" s="2"/>
      <c r="G404" s="2"/>
      <c r="H404" s="2"/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2"/>
      <c r="T404" s="2"/>
      <c r="U404" s="2"/>
      <c r="V404" s="2"/>
      <c r="W404" s="2"/>
      <c r="X404" s="2"/>
      <c r="Y404" s="3"/>
      <c r="Z404" s="3"/>
      <c r="AA404" s="2"/>
      <c r="AB404" s="2"/>
      <c r="AC404" s="2"/>
      <c r="AD404" s="2"/>
      <c r="AE404" s="2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4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</row>
    <row r="405" ht="15.75">
      <c r="A405" s="3"/>
      <c r="B405" s="2"/>
      <c r="C405" s="2"/>
      <c r="D405" s="2"/>
      <c r="E405" s="2"/>
      <c r="F405" s="2"/>
      <c r="G405" s="2"/>
      <c r="H405" s="2"/>
      <c r="I405" s="2"/>
      <c r="J405" s="3"/>
      <c r="K405" s="3"/>
      <c r="L405" s="3"/>
      <c r="M405" s="3"/>
      <c r="N405" s="3"/>
      <c r="O405" s="3"/>
      <c r="P405" s="3"/>
      <c r="Q405" s="3"/>
      <c r="R405" s="3"/>
      <c r="S405" s="2"/>
      <c r="T405" s="2"/>
      <c r="U405" s="2"/>
      <c r="V405" s="2"/>
      <c r="W405" s="2"/>
      <c r="X405" s="2"/>
      <c r="Y405" s="3"/>
      <c r="Z405" s="3"/>
      <c r="AA405" s="2"/>
      <c r="AB405" s="2"/>
      <c r="AC405" s="2"/>
      <c r="AD405" s="2"/>
      <c r="AE405" s="2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4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</row>
    <row r="406" ht="15.75">
      <c r="A406" s="3"/>
      <c r="B406" s="2"/>
      <c r="C406" s="2"/>
      <c r="D406" s="2"/>
      <c r="E406" s="2"/>
      <c r="F406" s="2"/>
      <c r="G406" s="2"/>
      <c r="H406" s="2"/>
      <c r="I406" s="2"/>
      <c r="J406" s="3"/>
      <c r="K406" s="3"/>
      <c r="L406" s="3"/>
      <c r="M406" s="3"/>
      <c r="N406" s="3"/>
      <c r="O406" s="3"/>
      <c r="P406" s="3"/>
      <c r="Q406" s="3"/>
      <c r="R406" s="3"/>
      <c r="S406" s="2"/>
      <c r="T406" s="2"/>
      <c r="U406" s="2"/>
      <c r="V406" s="2"/>
      <c r="W406" s="2"/>
      <c r="X406" s="2"/>
      <c r="Y406" s="3"/>
      <c r="Z406" s="3"/>
      <c r="AA406" s="2"/>
      <c r="AB406" s="2"/>
      <c r="AC406" s="2"/>
      <c r="AD406" s="2"/>
      <c r="AE406" s="2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4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</row>
    <row r="407" ht="15.75">
      <c r="A407" s="3"/>
      <c r="B407" s="2"/>
      <c r="C407" s="2"/>
      <c r="D407" s="2"/>
      <c r="E407" s="2"/>
      <c r="F407" s="2"/>
      <c r="G407" s="2"/>
      <c r="H407" s="2"/>
      <c r="I407" s="2"/>
      <c r="J407" s="3"/>
      <c r="K407" s="3"/>
      <c r="L407" s="3"/>
      <c r="M407" s="3"/>
      <c r="N407" s="3"/>
      <c r="O407" s="3"/>
      <c r="P407" s="3"/>
      <c r="Q407" s="3"/>
      <c r="R407" s="3"/>
      <c r="S407" s="2"/>
      <c r="T407" s="2"/>
      <c r="U407" s="2"/>
      <c r="V407" s="2"/>
      <c r="W407" s="2"/>
      <c r="X407" s="2"/>
      <c r="Y407" s="3"/>
      <c r="Z407" s="3"/>
      <c r="AA407" s="2"/>
      <c r="AB407" s="2"/>
      <c r="AC407" s="2"/>
      <c r="AD407" s="2"/>
      <c r="AE407" s="2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4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</row>
    <row r="408" ht="15.75">
      <c r="A408" s="3"/>
      <c r="B408" s="2"/>
      <c r="C408" s="2"/>
      <c r="D408" s="2"/>
      <c r="E408" s="2"/>
      <c r="F408" s="2"/>
      <c r="G408" s="2"/>
      <c r="H408" s="2"/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2"/>
      <c r="T408" s="2"/>
      <c r="U408" s="2"/>
      <c r="V408" s="2"/>
      <c r="W408" s="2"/>
      <c r="X408" s="2"/>
      <c r="Y408" s="3"/>
      <c r="Z408" s="3"/>
      <c r="AA408" s="2"/>
      <c r="AB408" s="2"/>
      <c r="AC408" s="2"/>
      <c r="AD408" s="2"/>
      <c r="AE408" s="2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4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</row>
    <row r="409" ht="15.75">
      <c r="A409" s="3"/>
      <c r="B409" s="2"/>
      <c r="C409" s="2"/>
      <c r="D409" s="2"/>
      <c r="E409" s="2"/>
      <c r="F409" s="2"/>
      <c r="G409" s="2"/>
      <c r="H409" s="2"/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2"/>
      <c r="T409" s="2"/>
      <c r="U409" s="2"/>
      <c r="V409" s="2"/>
      <c r="W409" s="2"/>
      <c r="X409" s="2"/>
      <c r="Y409" s="3"/>
      <c r="Z409" s="3"/>
      <c r="AA409" s="2"/>
      <c r="AB409" s="2"/>
      <c r="AC409" s="2"/>
      <c r="AD409" s="2"/>
      <c r="AE409" s="2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4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</row>
    <row r="410" ht="15.75">
      <c r="A410" s="3"/>
      <c r="B410" s="2"/>
      <c r="C410" s="2"/>
      <c r="D410" s="2"/>
      <c r="E410" s="2"/>
      <c r="F410" s="2"/>
      <c r="G410" s="2"/>
      <c r="H410" s="2"/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2"/>
      <c r="T410" s="2"/>
      <c r="U410" s="2"/>
      <c r="V410" s="2"/>
      <c r="W410" s="2"/>
      <c r="X410" s="2"/>
      <c r="Y410" s="3"/>
      <c r="Z410" s="3"/>
      <c r="AA410" s="2"/>
      <c r="AB410" s="2"/>
      <c r="AC410" s="2"/>
      <c r="AD410" s="2"/>
      <c r="AE410" s="2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4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</row>
    <row r="411" ht="15.75">
      <c r="A411" s="3"/>
      <c r="B411" s="2"/>
      <c r="C411" s="2"/>
      <c r="D411" s="2"/>
      <c r="E411" s="2"/>
      <c r="F411" s="2"/>
      <c r="G411" s="2"/>
      <c r="H411" s="2"/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2"/>
      <c r="T411" s="2"/>
      <c r="U411" s="2"/>
      <c r="V411" s="2"/>
      <c r="W411" s="2"/>
      <c r="X411" s="2"/>
      <c r="Y411" s="3"/>
      <c r="Z411" s="3"/>
      <c r="AA411" s="2"/>
      <c r="AB411" s="2"/>
      <c r="AC411" s="2"/>
      <c r="AD411" s="2"/>
      <c r="AE411" s="2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4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</row>
    <row r="412" ht="15.75">
      <c r="A412" s="3"/>
      <c r="B412" s="2"/>
      <c r="C412" s="2"/>
      <c r="D412" s="2"/>
      <c r="E412" s="2"/>
      <c r="F412" s="2"/>
      <c r="G412" s="2"/>
      <c r="H412" s="2"/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2"/>
      <c r="T412" s="2"/>
      <c r="U412" s="2"/>
      <c r="V412" s="2"/>
      <c r="W412" s="2"/>
      <c r="X412" s="2"/>
      <c r="Y412" s="3"/>
      <c r="Z412" s="3"/>
      <c r="AA412" s="2"/>
      <c r="AB412" s="2"/>
      <c r="AC412" s="2"/>
      <c r="AD412" s="2"/>
      <c r="AE412" s="2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4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</row>
    <row r="413" ht="15.75">
      <c r="A413" s="3"/>
      <c r="B413" s="2"/>
      <c r="C413" s="2"/>
      <c r="D413" s="2"/>
      <c r="E413" s="2"/>
      <c r="F413" s="2"/>
      <c r="G413" s="2"/>
      <c r="H413" s="2"/>
      <c r="I413" s="2"/>
      <c r="J413" s="3"/>
      <c r="K413" s="3"/>
      <c r="L413" s="3"/>
      <c r="M413" s="3"/>
      <c r="N413" s="3"/>
      <c r="O413" s="3"/>
      <c r="P413" s="3"/>
      <c r="Q413" s="3"/>
      <c r="R413" s="3"/>
      <c r="S413" s="2"/>
      <c r="T413" s="2"/>
      <c r="U413" s="2"/>
      <c r="V413" s="2"/>
      <c r="W413" s="2"/>
      <c r="X413" s="2"/>
      <c r="Y413" s="3"/>
      <c r="Z413" s="3"/>
      <c r="AA413" s="2"/>
      <c r="AB413" s="2"/>
      <c r="AC413" s="2"/>
      <c r="AD413" s="2"/>
      <c r="AE413" s="2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4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</row>
    <row r="414" ht="15.75">
      <c r="A414" s="3"/>
      <c r="B414" s="2"/>
      <c r="C414" s="2"/>
      <c r="D414" s="2"/>
      <c r="E414" s="2"/>
      <c r="F414" s="2"/>
      <c r="G414" s="2"/>
      <c r="H414" s="2"/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2"/>
      <c r="T414" s="2"/>
      <c r="U414" s="2"/>
      <c r="V414" s="2"/>
      <c r="W414" s="2"/>
      <c r="X414" s="2"/>
      <c r="Y414" s="3"/>
      <c r="Z414" s="3"/>
      <c r="AA414" s="2"/>
      <c r="AB414" s="2"/>
      <c r="AC414" s="2"/>
      <c r="AD414" s="2"/>
      <c r="AE414" s="2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4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</row>
    <row r="415" ht="15.75">
      <c r="A415" s="3"/>
      <c r="B415" s="2"/>
      <c r="C415" s="2"/>
      <c r="D415" s="2"/>
      <c r="E415" s="2"/>
      <c r="F415" s="2"/>
      <c r="G415" s="2"/>
      <c r="H415" s="2"/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2"/>
      <c r="T415" s="2"/>
      <c r="U415" s="2"/>
      <c r="V415" s="2"/>
      <c r="W415" s="2"/>
      <c r="X415" s="2"/>
      <c r="Y415" s="3"/>
      <c r="Z415" s="3"/>
      <c r="AA415" s="2"/>
      <c r="AB415" s="2"/>
      <c r="AC415" s="2"/>
      <c r="AD415" s="2"/>
      <c r="AE415" s="2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4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</row>
    <row r="416" ht="15.75">
      <c r="A416" s="3"/>
      <c r="B416" s="2"/>
      <c r="C416" s="2"/>
      <c r="D416" s="2"/>
      <c r="E416" s="2"/>
      <c r="F416" s="2"/>
      <c r="G416" s="2"/>
      <c r="H416" s="2"/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2"/>
      <c r="T416" s="2"/>
      <c r="U416" s="2"/>
      <c r="V416" s="2"/>
      <c r="W416" s="2"/>
      <c r="X416" s="2"/>
      <c r="Y416" s="3"/>
      <c r="Z416" s="3"/>
      <c r="AA416" s="2"/>
      <c r="AB416" s="2"/>
      <c r="AC416" s="2"/>
      <c r="AD416" s="2"/>
      <c r="AE416" s="2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4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</row>
    <row r="417" ht="15.75">
      <c r="A417" s="3"/>
      <c r="B417" s="2"/>
      <c r="C417" s="2"/>
      <c r="D417" s="2"/>
      <c r="E417" s="2"/>
      <c r="F417" s="2"/>
      <c r="G417" s="2"/>
      <c r="H417" s="2"/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2"/>
      <c r="T417" s="2"/>
      <c r="U417" s="2"/>
      <c r="V417" s="2"/>
      <c r="W417" s="2"/>
      <c r="X417" s="2"/>
      <c r="Y417" s="3"/>
      <c r="Z417" s="3"/>
      <c r="AA417" s="2"/>
      <c r="AB417" s="2"/>
      <c r="AC417" s="2"/>
      <c r="AD417" s="2"/>
      <c r="AE417" s="2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4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</row>
    <row r="418" ht="15.75">
      <c r="A418" s="3"/>
      <c r="B418" s="2"/>
      <c r="C418" s="2"/>
      <c r="D418" s="2"/>
      <c r="E418" s="2"/>
      <c r="F418" s="2"/>
      <c r="G418" s="2"/>
      <c r="H418" s="2"/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2"/>
      <c r="T418" s="2"/>
      <c r="U418" s="2"/>
      <c r="V418" s="2"/>
      <c r="W418" s="2"/>
      <c r="X418" s="2"/>
      <c r="Y418" s="3"/>
      <c r="Z418" s="3"/>
      <c r="AA418" s="2"/>
      <c r="AB418" s="2"/>
      <c r="AC418" s="2"/>
      <c r="AD418" s="2"/>
      <c r="AE418" s="2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4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</row>
    <row r="419" ht="15.75">
      <c r="A419" s="3"/>
      <c r="B419" s="2"/>
      <c r="C419" s="2"/>
      <c r="D419" s="2"/>
      <c r="E419" s="2"/>
      <c r="F419" s="2"/>
      <c r="G419" s="2"/>
      <c r="H419" s="2"/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2"/>
      <c r="T419" s="2"/>
      <c r="U419" s="2"/>
      <c r="V419" s="2"/>
      <c r="W419" s="2"/>
      <c r="X419" s="2"/>
      <c r="Y419" s="3"/>
      <c r="Z419" s="3"/>
      <c r="AA419" s="2"/>
      <c r="AB419" s="2"/>
      <c r="AC419" s="2"/>
      <c r="AD419" s="2"/>
      <c r="AE419" s="2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4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</row>
    <row r="420" ht="15.75">
      <c r="A420" s="3"/>
      <c r="B420" s="2"/>
      <c r="C420" s="2"/>
      <c r="D420" s="2"/>
      <c r="E420" s="2"/>
      <c r="F420" s="2"/>
      <c r="G420" s="2"/>
      <c r="H420" s="2"/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2"/>
      <c r="T420" s="2"/>
      <c r="U420" s="2"/>
      <c r="V420" s="2"/>
      <c r="W420" s="2"/>
      <c r="X420" s="2"/>
      <c r="Y420" s="3"/>
      <c r="Z420" s="3"/>
      <c r="AA420" s="2"/>
      <c r="AB420" s="2"/>
      <c r="AC420" s="2"/>
      <c r="AD420" s="2"/>
      <c r="AE420" s="2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4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</row>
    <row r="421" ht="15.75">
      <c r="A421" s="3"/>
      <c r="B421" s="2"/>
      <c r="C421" s="2"/>
      <c r="D421" s="2"/>
      <c r="E421" s="2"/>
      <c r="F421" s="2"/>
      <c r="G421" s="2"/>
      <c r="H421" s="2"/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2"/>
      <c r="T421" s="2"/>
      <c r="U421" s="2"/>
      <c r="V421" s="2"/>
      <c r="W421" s="2"/>
      <c r="X421" s="2"/>
      <c r="Y421" s="3"/>
      <c r="Z421" s="3"/>
      <c r="AA421" s="2"/>
      <c r="AB421" s="2"/>
      <c r="AC421" s="2"/>
      <c r="AD421" s="2"/>
      <c r="AE421" s="2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4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</row>
    <row r="422" ht="15.75">
      <c r="A422" s="3"/>
      <c r="B422" s="2"/>
      <c r="C422" s="2"/>
      <c r="D422" s="2"/>
      <c r="E422" s="2"/>
      <c r="F422" s="2"/>
      <c r="G422" s="2"/>
      <c r="H422" s="2"/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2"/>
      <c r="T422" s="2"/>
      <c r="U422" s="2"/>
      <c r="V422" s="2"/>
      <c r="W422" s="2"/>
      <c r="X422" s="2"/>
      <c r="Y422" s="3"/>
      <c r="Z422" s="3"/>
      <c r="AA422" s="2"/>
      <c r="AB422" s="2"/>
      <c r="AC422" s="2"/>
      <c r="AD422" s="2"/>
      <c r="AE422" s="2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4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</row>
    <row r="423" ht="15.75">
      <c r="A423" s="3"/>
      <c r="B423" s="2"/>
      <c r="C423" s="2"/>
      <c r="D423" s="2"/>
      <c r="E423" s="2"/>
      <c r="F423" s="2"/>
      <c r="G423" s="2"/>
      <c r="H423" s="2"/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2"/>
      <c r="T423" s="2"/>
      <c r="U423" s="2"/>
      <c r="V423" s="2"/>
      <c r="W423" s="2"/>
      <c r="X423" s="2"/>
      <c r="Y423" s="3"/>
      <c r="Z423" s="3"/>
      <c r="AA423" s="2"/>
      <c r="AB423" s="2"/>
      <c r="AC423" s="2"/>
      <c r="AD423" s="2"/>
      <c r="AE423" s="2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4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</row>
    <row r="424" ht="15.75">
      <c r="A424" s="3"/>
      <c r="B424" s="2"/>
      <c r="C424" s="2"/>
      <c r="D424" s="2"/>
      <c r="E424" s="2"/>
      <c r="F424" s="2"/>
      <c r="G424" s="2"/>
      <c r="H424" s="2"/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2"/>
      <c r="T424" s="2"/>
      <c r="U424" s="2"/>
      <c r="V424" s="2"/>
      <c r="W424" s="2"/>
      <c r="X424" s="2"/>
      <c r="Y424" s="3"/>
      <c r="Z424" s="3"/>
      <c r="AA424" s="2"/>
      <c r="AB424" s="2"/>
      <c r="AC424" s="2"/>
      <c r="AD424" s="2"/>
      <c r="AE424" s="2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4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</row>
    <row r="425" ht="15.75">
      <c r="A425" s="3"/>
      <c r="B425" s="2"/>
      <c r="C425" s="2"/>
      <c r="D425" s="2"/>
      <c r="E425" s="2"/>
      <c r="F425" s="2"/>
      <c r="G425" s="2"/>
      <c r="H425" s="2"/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2"/>
      <c r="T425" s="2"/>
      <c r="U425" s="2"/>
      <c r="V425" s="2"/>
      <c r="W425" s="2"/>
      <c r="X425" s="2"/>
      <c r="Y425" s="3"/>
      <c r="Z425" s="3"/>
      <c r="AA425" s="2"/>
      <c r="AB425" s="2"/>
      <c r="AC425" s="2"/>
      <c r="AD425" s="2"/>
      <c r="AE425" s="2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4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</row>
    <row r="426" ht="15.75">
      <c r="A426" s="3"/>
      <c r="B426" s="2"/>
      <c r="C426" s="2"/>
      <c r="D426" s="2"/>
      <c r="E426" s="2"/>
      <c r="F426" s="2"/>
      <c r="G426" s="2"/>
      <c r="H426" s="2"/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2"/>
      <c r="T426" s="2"/>
      <c r="U426" s="2"/>
      <c r="V426" s="2"/>
      <c r="W426" s="2"/>
      <c r="X426" s="2"/>
      <c r="Y426" s="3"/>
      <c r="Z426" s="3"/>
      <c r="AA426" s="2"/>
      <c r="AB426" s="2"/>
      <c r="AC426" s="2"/>
      <c r="AD426" s="2"/>
      <c r="AE426" s="2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4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</row>
    <row r="427" ht="15.75">
      <c r="A427" s="3"/>
      <c r="B427" s="2"/>
      <c r="C427" s="2"/>
      <c r="D427" s="2"/>
      <c r="E427" s="2"/>
      <c r="F427" s="2"/>
      <c r="G427" s="2"/>
      <c r="H427" s="2"/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2"/>
      <c r="T427" s="2"/>
      <c r="U427" s="2"/>
      <c r="V427" s="2"/>
      <c r="W427" s="2"/>
      <c r="X427" s="2"/>
      <c r="Y427" s="3"/>
      <c r="Z427" s="3"/>
      <c r="AA427" s="2"/>
      <c r="AB427" s="2"/>
      <c r="AC427" s="2"/>
      <c r="AD427" s="2"/>
      <c r="AE427" s="2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4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</row>
    <row r="428" ht="15.75">
      <c r="A428" s="3"/>
      <c r="B428" s="2"/>
      <c r="C428" s="2"/>
      <c r="D428" s="2"/>
      <c r="E428" s="2"/>
      <c r="F428" s="2"/>
      <c r="G428" s="2"/>
      <c r="H428" s="2"/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2"/>
      <c r="T428" s="2"/>
      <c r="U428" s="2"/>
      <c r="V428" s="2"/>
      <c r="W428" s="2"/>
      <c r="X428" s="2"/>
      <c r="Y428" s="3"/>
      <c r="Z428" s="3"/>
      <c r="AA428" s="2"/>
      <c r="AB428" s="2"/>
      <c r="AC428" s="2"/>
      <c r="AD428" s="2"/>
      <c r="AE428" s="2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4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</row>
    <row r="429" ht="15.75">
      <c r="A429" s="3"/>
      <c r="B429" s="2"/>
      <c r="C429" s="2"/>
      <c r="D429" s="2"/>
      <c r="E429" s="2"/>
      <c r="F429" s="2"/>
      <c r="G429" s="2"/>
      <c r="H429" s="2"/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2"/>
      <c r="T429" s="2"/>
      <c r="U429" s="2"/>
      <c r="V429" s="2"/>
      <c r="W429" s="2"/>
      <c r="X429" s="2"/>
      <c r="Y429" s="3"/>
      <c r="Z429" s="3"/>
      <c r="AA429" s="2"/>
      <c r="AB429" s="2"/>
      <c r="AC429" s="2"/>
      <c r="AD429" s="2"/>
      <c r="AE429" s="2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4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</row>
    <row r="430" ht="15.75">
      <c r="A430" s="3"/>
      <c r="B430" s="2"/>
      <c r="C430" s="2"/>
      <c r="D430" s="2"/>
      <c r="E430" s="2"/>
      <c r="F430" s="2"/>
      <c r="G430" s="2"/>
      <c r="H430" s="2"/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2"/>
      <c r="T430" s="2"/>
      <c r="U430" s="2"/>
      <c r="V430" s="2"/>
      <c r="W430" s="2"/>
      <c r="X430" s="2"/>
      <c r="Y430" s="3"/>
      <c r="Z430" s="3"/>
      <c r="AA430" s="2"/>
      <c r="AB430" s="2"/>
      <c r="AC430" s="2"/>
      <c r="AD430" s="2"/>
      <c r="AE430" s="2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4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</row>
    <row r="431" ht="15.75">
      <c r="A431" s="3"/>
      <c r="B431" s="2"/>
      <c r="C431" s="2"/>
      <c r="D431" s="2"/>
      <c r="E431" s="2"/>
      <c r="F431" s="2"/>
      <c r="G431" s="2"/>
      <c r="H431" s="2"/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2"/>
      <c r="T431" s="2"/>
      <c r="U431" s="2"/>
      <c r="V431" s="2"/>
      <c r="W431" s="2"/>
      <c r="X431" s="2"/>
      <c r="Y431" s="3"/>
      <c r="Z431" s="3"/>
      <c r="AA431" s="2"/>
      <c r="AB431" s="2"/>
      <c r="AC431" s="2"/>
      <c r="AD431" s="2"/>
      <c r="AE431" s="2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4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</row>
    <row r="432" ht="15.75">
      <c r="A432" s="3"/>
      <c r="B432" s="2"/>
      <c r="C432" s="2"/>
      <c r="D432" s="2"/>
      <c r="E432" s="2"/>
      <c r="F432" s="2"/>
      <c r="G432" s="2"/>
      <c r="H432" s="2"/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2"/>
      <c r="T432" s="2"/>
      <c r="U432" s="2"/>
      <c r="V432" s="2"/>
      <c r="W432" s="2"/>
      <c r="X432" s="2"/>
      <c r="Y432" s="3"/>
      <c r="Z432" s="3"/>
      <c r="AA432" s="2"/>
      <c r="AB432" s="2"/>
      <c r="AC432" s="2"/>
      <c r="AD432" s="2"/>
      <c r="AE432" s="2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4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</row>
    <row r="433" ht="15.75">
      <c r="A433" s="3"/>
      <c r="B433" s="2"/>
      <c r="C433" s="2"/>
      <c r="D433" s="2"/>
      <c r="E433" s="2"/>
      <c r="F433" s="2"/>
      <c r="G433" s="2"/>
      <c r="H433" s="2"/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2"/>
      <c r="T433" s="2"/>
      <c r="U433" s="2"/>
      <c r="V433" s="2"/>
      <c r="W433" s="2"/>
      <c r="X433" s="2"/>
      <c r="Y433" s="3"/>
      <c r="Z433" s="3"/>
      <c r="AA433" s="2"/>
      <c r="AB433" s="2"/>
      <c r="AC433" s="2"/>
      <c r="AD433" s="2"/>
      <c r="AE433" s="2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4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</row>
    <row r="434" ht="15.75">
      <c r="A434" s="3"/>
      <c r="B434" s="2"/>
      <c r="C434" s="2"/>
      <c r="D434" s="2"/>
      <c r="E434" s="2"/>
      <c r="F434" s="2"/>
      <c r="G434" s="2"/>
      <c r="H434" s="2"/>
      <c r="I434" s="2"/>
      <c r="J434" s="3"/>
      <c r="K434" s="3"/>
      <c r="L434" s="3"/>
      <c r="M434" s="3"/>
      <c r="N434" s="3"/>
      <c r="O434" s="3"/>
      <c r="P434" s="3"/>
      <c r="Q434" s="3"/>
      <c r="R434" s="3"/>
      <c r="S434" s="2"/>
      <c r="T434" s="2"/>
      <c r="U434" s="2"/>
      <c r="V434" s="2"/>
      <c r="W434" s="2"/>
      <c r="X434" s="2"/>
      <c r="Y434" s="3"/>
      <c r="Z434" s="3"/>
      <c r="AA434" s="2"/>
      <c r="AB434" s="2"/>
      <c r="AC434" s="2"/>
      <c r="AD434" s="2"/>
      <c r="AE434" s="2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4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</row>
    <row r="435" ht="15.75">
      <c r="A435" s="3"/>
      <c r="B435" s="2"/>
      <c r="C435" s="2"/>
      <c r="D435" s="2"/>
      <c r="E435" s="2"/>
      <c r="F435" s="2"/>
      <c r="G435" s="2"/>
      <c r="H435" s="2"/>
      <c r="I435" s="2"/>
      <c r="J435" s="3"/>
      <c r="K435" s="3"/>
      <c r="L435" s="3"/>
      <c r="M435" s="3"/>
      <c r="N435" s="3"/>
      <c r="O435" s="3"/>
      <c r="P435" s="3"/>
      <c r="Q435" s="3"/>
      <c r="R435" s="3"/>
      <c r="S435" s="2"/>
      <c r="T435" s="2"/>
      <c r="U435" s="2"/>
      <c r="V435" s="2"/>
      <c r="W435" s="2"/>
      <c r="X435" s="2"/>
      <c r="Y435" s="3"/>
      <c r="Z435" s="3"/>
      <c r="AA435" s="2"/>
      <c r="AB435" s="2"/>
      <c r="AC435" s="2"/>
      <c r="AD435" s="2"/>
      <c r="AE435" s="2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4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</row>
    <row r="436" ht="15.75">
      <c r="A436" s="3"/>
      <c r="B436" s="2"/>
      <c r="C436" s="2"/>
      <c r="D436" s="2"/>
      <c r="E436" s="2"/>
      <c r="F436" s="2"/>
      <c r="G436" s="2"/>
      <c r="H436" s="2"/>
      <c r="I436" s="2"/>
      <c r="J436" s="3"/>
      <c r="K436" s="3"/>
      <c r="L436" s="3"/>
      <c r="M436" s="3"/>
      <c r="N436" s="3"/>
      <c r="O436" s="3"/>
      <c r="P436" s="3"/>
      <c r="Q436" s="3"/>
      <c r="R436" s="3"/>
      <c r="S436" s="2"/>
      <c r="T436" s="2"/>
      <c r="U436" s="2"/>
      <c r="V436" s="2"/>
      <c r="W436" s="2"/>
      <c r="X436" s="2"/>
      <c r="Y436" s="3"/>
      <c r="Z436" s="3"/>
      <c r="AA436" s="2"/>
      <c r="AB436" s="2"/>
      <c r="AC436" s="2"/>
      <c r="AD436" s="2"/>
      <c r="AE436" s="2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4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</row>
    <row r="437" ht="15.75">
      <c r="A437" s="3"/>
      <c r="B437" s="2"/>
      <c r="C437" s="2"/>
      <c r="D437" s="2"/>
      <c r="E437" s="2"/>
      <c r="F437" s="2"/>
      <c r="G437" s="2"/>
      <c r="H437" s="2"/>
      <c r="I437" s="2"/>
      <c r="J437" s="3"/>
      <c r="K437" s="3"/>
      <c r="L437" s="3"/>
      <c r="M437" s="3"/>
      <c r="N437" s="3"/>
      <c r="O437" s="3"/>
      <c r="P437" s="3"/>
      <c r="Q437" s="3"/>
      <c r="R437" s="3"/>
      <c r="S437" s="2"/>
      <c r="T437" s="2"/>
      <c r="U437" s="2"/>
      <c r="V437" s="2"/>
      <c r="W437" s="2"/>
      <c r="X437" s="2"/>
      <c r="Y437" s="3"/>
      <c r="Z437" s="3"/>
      <c r="AA437" s="2"/>
      <c r="AB437" s="2"/>
      <c r="AC437" s="2"/>
      <c r="AD437" s="2"/>
      <c r="AE437" s="2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4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</row>
    <row r="438" ht="15.75">
      <c r="A438" s="3"/>
      <c r="B438" s="2"/>
      <c r="C438" s="2"/>
      <c r="D438" s="2"/>
      <c r="E438" s="2"/>
      <c r="F438" s="2"/>
      <c r="G438" s="2"/>
      <c r="H438" s="2"/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2"/>
      <c r="T438" s="2"/>
      <c r="U438" s="2"/>
      <c r="V438" s="2"/>
      <c r="W438" s="2"/>
      <c r="X438" s="2"/>
      <c r="Y438" s="3"/>
      <c r="Z438" s="3"/>
      <c r="AA438" s="2"/>
      <c r="AB438" s="2"/>
      <c r="AC438" s="2"/>
      <c r="AD438" s="2"/>
      <c r="AE438" s="2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4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</row>
    <row r="439" ht="15.75">
      <c r="A439" s="3"/>
      <c r="B439" s="2"/>
      <c r="C439" s="2"/>
      <c r="D439" s="2"/>
      <c r="E439" s="2"/>
      <c r="F439" s="2"/>
      <c r="G439" s="2"/>
      <c r="H439" s="2"/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2"/>
      <c r="T439" s="2"/>
      <c r="U439" s="2"/>
      <c r="V439" s="2"/>
      <c r="W439" s="2"/>
      <c r="X439" s="2"/>
      <c r="Y439" s="3"/>
      <c r="Z439" s="3"/>
      <c r="AA439" s="2"/>
      <c r="AB439" s="2"/>
      <c r="AC439" s="2"/>
      <c r="AD439" s="2"/>
      <c r="AE439" s="2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4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</row>
    <row r="440" ht="15.75">
      <c r="A440" s="3"/>
      <c r="B440" s="2"/>
      <c r="C440" s="2"/>
      <c r="D440" s="2"/>
      <c r="E440" s="2"/>
      <c r="F440" s="2"/>
      <c r="G440" s="2"/>
      <c r="H440" s="2"/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2"/>
      <c r="T440" s="2"/>
      <c r="U440" s="2"/>
      <c r="V440" s="2"/>
      <c r="W440" s="2"/>
      <c r="X440" s="2"/>
      <c r="Y440" s="3"/>
      <c r="Z440" s="3"/>
      <c r="AA440" s="2"/>
      <c r="AB440" s="2"/>
      <c r="AC440" s="2"/>
      <c r="AD440" s="2"/>
      <c r="AE440" s="2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4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</row>
    <row r="441" ht="15.75">
      <c r="A441" s="3"/>
      <c r="B441" s="2"/>
      <c r="C441" s="2"/>
      <c r="D441" s="2"/>
      <c r="E441" s="2"/>
      <c r="F441" s="2"/>
      <c r="G441" s="2"/>
      <c r="H441" s="2"/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2"/>
      <c r="T441" s="2"/>
      <c r="U441" s="2"/>
      <c r="V441" s="2"/>
      <c r="W441" s="2"/>
      <c r="X441" s="2"/>
      <c r="Y441" s="3"/>
      <c r="Z441" s="3"/>
      <c r="AA441" s="2"/>
      <c r="AB441" s="2"/>
      <c r="AC441" s="2"/>
      <c r="AD441" s="2"/>
      <c r="AE441" s="2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4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</row>
    <row r="442" ht="15.75">
      <c r="A442" s="3"/>
      <c r="B442" s="2"/>
      <c r="C442" s="2"/>
      <c r="D442" s="2"/>
      <c r="E442" s="2"/>
      <c r="F442" s="2"/>
      <c r="G442" s="2"/>
      <c r="H442" s="2"/>
      <c r="I442" s="2"/>
      <c r="J442" s="3"/>
      <c r="K442" s="3"/>
      <c r="L442" s="3"/>
      <c r="M442" s="3"/>
      <c r="N442" s="3"/>
      <c r="O442" s="3"/>
      <c r="P442" s="3"/>
      <c r="Q442" s="3"/>
      <c r="R442" s="3"/>
      <c r="S442" s="2"/>
      <c r="T442" s="2"/>
      <c r="U442" s="2"/>
      <c r="V442" s="2"/>
      <c r="W442" s="2"/>
      <c r="X442" s="2"/>
      <c r="Y442" s="3"/>
      <c r="Z442" s="3"/>
      <c r="AA442" s="2"/>
      <c r="AB442" s="2"/>
      <c r="AC442" s="2"/>
      <c r="AD442" s="2"/>
      <c r="AE442" s="2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4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</row>
    <row r="443" ht="15.75">
      <c r="A443" s="3"/>
      <c r="B443" s="2"/>
      <c r="C443" s="2"/>
      <c r="D443" s="2"/>
      <c r="E443" s="2"/>
      <c r="F443" s="2"/>
      <c r="G443" s="2"/>
      <c r="H443" s="2"/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2"/>
      <c r="T443" s="2"/>
      <c r="U443" s="2"/>
      <c r="V443" s="2"/>
      <c r="W443" s="2"/>
      <c r="X443" s="2"/>
      <c r="Y443" s="3"/>
      <c r="Z443" s="3"/>
      <c r="AA443" s="2"/>
      <c r="AB443" s="2"/>
      <c r="AC443" s="2"/>
      <c r="AD443" s="2"/>
      <c r="AE443" s="2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4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</row>
    <row r="444" ht="15.75">
      <c r="A444" s="3"/>
      <c r="B444" s="2"/>
      <c r="C444" s="2"/>
      <c r="D444" s="2"/>
      <c r="E444" s="2"/>
      <c r="F444" s="2"/>
      <c r="G444" s="2"/>
      <c r="H444" s="2"/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2"/>
      <c r="T444" s="2"/>
      <c r="U444" s="2"/>
      <c r="V444" s="2"/>
      <c r="W444" s="2"/>
      <c r="X444" s="2"/>
      <c r="Y444" s="3"/>
      <c r="Z444" s="3"/>
      <c r="AA444" s="2"/>
      <c r="AB444" s="2"/>
      <c r="AC444" s="2"/>
      <c r="AD444" s="2"/>
      <c r="AE444" s="2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4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</row>
    <row r="445" ht="15.75">
      <c r="A445" s="3"/>
      <c r="B445" s="2"/>
      <c r="C445" s="2"/>
      <c r="D445" s="2"/>
      <c r="E445" s="2"/>
      <c r="F445" s="2"/>
      <c r="G445" s="2"/>
      <c r="H445" s="2"/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2"/>
      <c r="T445" s="2"/>
      <c r="U445" s="2"/>
      <c r="V445" s="2"/>
      <c r="W445" s="2"/>
      <c r="X445" s="2"/>
      <c r="Y445" s="3"/>
      <c r="Z445" s="3"/>
      <c r="AA445" s="2"/>
      <c r="AB445" s="2"/>
      <c r="AC445" s="2"/>
      <c r="AD445" s="2"/>
      <c r="AE445" s="2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4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</row>
    <row r="446" ht="15.75">
      <c r="A446" s="3"/>
      <c r="B446" s="2"/>
      <c r="C446" s="2"/>
      <c r="D446" s="2"/>
      <c r="E446" s="2"/>
      <c r="F446" s="2"/>
      <c r="G446" s="2"/>
      <c r="H446" s="2"/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2"/>
      <c r="T446" s="2"/>
      <c r="U446" s="2"/>
      <c r="V446" s="2"/>
      <c r="W446" s="2"/>
      <c r="X446" s="2"/>
      <c r="Y446" s="3"/>
      <c r="Z446" s="3"/>
      <c r="AA446" s="2"/>
      <c r="AB446" s="2"/>
      <c r="AC446" s="2"/>
      <c r="AD446" s="2"/>
      <c r="AE446" s="2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4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</row>
    <row r="447" ht="15.75">
      <c r="A447" s="3"/>
      <c r="B447" s="2"/>
      <c r="C447" s="2"/>
      <c r="D447" s="2"/>
      <c r="E447" s="2"/>
      <c r="F447" s="2"/>
      <c r="G447" s="2"/>
      <c r="H447" s="2"/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2"/>
      <c r="T447" s="2"/>
      <c r="U447" s="2"/>
      <c r="V447" s="2"/>
      <c r="W447" s="2"/>
      <c r="X447" s="2"/>
      <c r="Y447" s="3"/>
      <c r="Z447" s="3"/>
      <c r="AA447" s="2"/>
      <c r="AB447" s="2"/>
      <c r="AC447" s="2"/>
      <c r="AD447" s="2"/>
      <c r="AE447" s="2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4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</row>
    <row r="448" ht="15.75">
      <c r="A448" s="3"/>
      <c r="B448" s="2"/>
      <c r="C448" s="2"/>
      <c r="D448" s="2"/>
      <c r="E448" s="2"/>
      <c r="F448" s="2"/>
      <c r="G448" s="2"/>
      <c r="H448" s="2"/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2"/>
      <c r="T448" s="2"/>
      <c r="U448" s="2"/>
      <c r="V448" s="2"/>
      <c r="W448" s="2"/>
      <c r="X448" s="2"/>
      <c r="Y448" s="3"/>
      <c r="Z448" s="3"/>
      <c r="AA448" s="2"/>
      <c r="AB448" s="2"/>
      <c r="AC448" s="2"/>
      <c r="AD448" s="2"/>
      <c r="AE448" s="2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4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</row>
    <row r="449" ht="15.75">
      <c r="A449" s="3"/>
      <c r="B449" s="2"/>
      <c r="C449" s="2"/>
      <c r="D449" s="2"/>
      <c r="E449" s="2"/>
      <c r="F449" s="2"/>
      <c r="G449" s="2"/>
      <c r="H449" s="2"/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2"/>
      <c r="T449" s="2"/>
      <c r="U449" s="2"/>
      <c r="V449" s="2"/>
      <c r="W449" s="2"/>
      <c r="X449" s="2"/>
      <c r="Y449" s="3"/>
      <c r="Z449" s="3"/>
      <c r="AA449" s="2"/>
      <c r="AB449" s="2"/>
      <c r="AC449" s="2"/>
      <c r="AD449" s="2"/>
      <c r="AE449" s="2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4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</row>
    <row r="450" ht="15.75">
      <c r="A450" s="3"/>
      <c r="B450" s="2"/>
      <c r="C450" s="2"/>
      <c r="D450" s="2"/>
      <c r="E450" s="2"/>
      <c r="F450" s="2"/>
      <c r="G450" s="2"/>
      <c r="H450" s="2"/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2"/>
      <c r="T450" s="2"/>
      <c r="U450" s="2"/>
      <c r="V450" s="2"/>
      <c r="W450" s="2"/>
      <c r="X450" s="2"/>
      <c r="Y450" s="3"/>
      <c r="Z450" s="3"/>
      <c r="AA450" s="2"/>
      <c r="AB450" s="2"/>
      <c r="AC450" s="2"/>
      <c r="AD450" s="2"/>
      <c r="AE450" s="2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4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</row>
    <row r="451" ht="15.75">
      <c r="A451" s="3"/>
      <c r="B451" s="2"/>
      <c r="C451" s="2"/>
      <c r="D451" s="2"/>
      <c r="E451" s="2"/>
      <c r="F451" s="2"/>
      <c r="G451" s="2"/>
      <c r="H451" s="2"/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2"/>
      <c r="T451" s="2"/>
      <c r="U451" s="2"/>
      <c r="V451" s="2"/>
      <c r="W451" s="2"/>
      <c r="X451" s="2"/>
      <c r="Y451" s="3"/>
      <c r="Z451" s="3"/>
      <c r="AA451" s="2"/>
      <c r="AB451" s="2"/>
      <c r="AC451" s="2"/>
      <c r="AD451" s="2"/>
      <c r="AE451" s="2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4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</row>
    <row r="452" ht="15.75">
      <c r="A452" s="3"/>
      <c r="B452" s="2"/>
      <c r="C452" s="2"/>
      <c r="D452" s="2"/>
      <c r="E452" s="2"/>
      <c r="F452" s="2"/>
      <c r="G452" s="2"/>
      <c r="H452" s="2"/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2"/>
      <c r="T452" s="2"/>
      <c r="U452" s="2"/>
      <c r="V452" s="2"/>
      <c r="W452" s="2"/>
      <c r="X452" s="2"/>
      <c r="Y452" s="3"/>
      <c r="Z452" s="3"/>
      <c r="AA452" s="2"/>
      <c r="AB452" s="2"/>
      <c r="AC452" s="2"/>
      <c r="AD452" s="2"/>
      <c r="AE452" s="2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4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</row>
    <row r="453" ht="15.75">
      <c r="A453" s="3"/>
      <c r="B453" s="2"/>
      <c r="C453" s="2"/>
      <c r="D453" s="2"/>
      <c r="E453" s="2"/>
      <c r="F453" s="2"/>
      <c r="G453" s="2"/>
      <c r="H453" s="2"/>
      <c r="I453" s="2"/>
      <c r="J453" s="3"/>
      <c r="K453" s="3"/>
      <c r="L453" s="3"/>
      <c r="M453" s="3"/>
      <c r="N453" s="3"/>
      <c r="O453" s="3"/>
      <c r="P453" s="3"/>
      <c r="Q453" s="3"/>
      <c r="R453" s="3"/>
      <c r="S453" s="2"/>
      <c r="T453" s="2"/>
      <c r="U453" s="2"/>
      <c r="V453" s="2"/>
      <c r="W453" s="2"/>
      <c r="X453" s="2"/>
      <c r="Y453" s="3"/>
      <c r="Z453" s="3"/>
      <c r="AA453" s="2"/>
      <c r="AB453" s="2"/>
      <c r="AC453" s="2"/>
      <c r="AD453" s="2"/>
      <c r="AE453" s="2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4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</row>
    <row r="454" ht="15.75">
      <c r="A454" s="3"/>
      <c r="B454" s="2"/>
      <c r="C454" s="2"/>
      <c r="D454" s="2"/>
      <c r="E454" s="2"/>
      <c r="F454" s="2"/>
      <c r="G454" s="2"/>
      <c r="H454" s="2"/>
      <c r="I454" s="2"/>
      <c r="J454" s="3"/>
      <c r="K454" s="3"/>
      <c r="L454" s="3"/>
      <c r="M454" s="3"/>
      <c r="N454" s="3"/>
      <c r="O454" s="3"/>
      <c r="P454" s="3"/>
      <c r="Q454" s="3"/>
      <c r="R454" s="3"/>
      <c r="S454" s="2"/>
      <c r="T454" s="2"/>
      <c r="U454" s="2"/>
      <c r="V454" s="2"/>
      <c r="W454" s="2"/>
      <c r="X454" s="2"/>
      <c r="Y454" s="3"/>
      <c r="Z454" s="3"/>
      <c r="AA454" s="2"/>
      <c r="AB454" s="2"/>
      <c r="AC454" s="2"/>
      <c r="AD454" s="2"/>
      <c r="AE454" s="2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4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</row>
    <row r="455" ht="15.75">
      <c r="A455" s="3"/>
      <c r="B455" s="2"/>
      <c r="C455" s="2"/>
      <c r="D455" s="2"/>
      <c r="E455" s="2"/>
      <c r="F455" s="2"/>
      <c r="G455" s="2"/>
      <c r="H455" s="2"/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2"/>
      <c r="T455" s="2"/>
      <c r="U455" s="2"/>
      <c r="V455" s="2"/>
      <c r="W455" s="2"/>
      <c r="X455" s="2"/>
      <c r="Y455" s="3"/>
      <c r="Z455" s="3"/>
      <c r="AA455" s="2"/>
      <c r="AB455" s="2"/>
      <c r="AC455" s="2"/>
      <c r="AD455" s="2"/>
      <c r="AE455" s="2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4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</row>
    <row r="456" ht="15.75">
      <c r="A456" s="3"/>
      <c r="B456" s="2"/>
      <c r="C456" s="2"/>
      <c r="D456" s="2"/>
      <c r="E456" s="2"/>
      <c r="F456" s="2"/>
      <c r="G456" s="2"/>
      <c r="H456" s="2"/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2"/>
      <c r="T456" s="2"/>
      <c r="U456" s="2"/>
      <c r="V456" s="2"/>
      <c r="W456" s="2"/>
      <c r="X456" s="2"/>
      <c r="Y456" s="3"/>
      <c r="Z456" s="3"/>
      <c r="AA456" s="2"/>
      <c r="AB456" s="2"/>
      <c r="AC456" s="2"/>
      <c r="AD456" s="2"/>
      <c r="AE456" s="2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4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</row>
    <row r="457" ht="15.75">
      <c r="A457" s="3"/>
      <c r="B457" s="2"/>
      <c r="C457" s="2"/>
      <c r="D457" s="2"/>
      <c r="E457" s="2"/>
      <c r="F457" s="2"/>
      <c r="G457" s="2"/>
      <c r="H457" s="2"/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2"/>
      <c r="T457" s="2"/>
      <c r="U457" s="2"/>
      <c r="V457" s="2"/>
      <c r="W457" s="2"/>
      <c r="X457" s="2"/>
      <c r="Y457" s="3"/>
      <c r="Z457" s="3"/>
      <c r="AA457" s="2"/>
      <c r="AB457" s="2"/>
      <c r="AC457" s="2"/>
      <c r="AD457" s="2"/>
      <c r="AE457" s="2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4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</row>
    <row r="458" ht="15.75">
      <c r="A458" s="3"/>
      <c r="B458" s="2"/>
      <c r="C458" s="2"/>
      <c r="D458" s="2"/>
      <c r="E458" s="2"/>
      <c r="F458" s="2"/>
      <c r="G458" s="2"/>
      <c r="H458" s="2"/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2"/>
      <c r="T458" s="2"/>
      <c r="U458" s="2"/>
      <c r="V458" s="2"/>
      <c r="W458" s="2"/>
      <c r="X458" s="2"/>
      <c r="Y458" s="3"/>
      <c r="Z458" s="3"/>
      <c r="AA458" s="2"/>
      <c r="AB458" s="2"/>
      <c r="AC458" s="2"/>
      <c r="AD458" s="2"/>
      <c r="AE458" s="2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4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</row>
    <row r="459" ht="15.75">
      <c r="A459" s="3"/>
      <c r="B459" s="2"/>
      <c r="C459" s="2"/>
      <c r="D459" s="2"/>
      <c r="E459" s="2"/>
      <c r="F459" s="2"/>
      <c r="G459" s="2"/>
      <c r="H459" s="2"/>
      <c r="I459" s="2"/>
      <c r="J459" s="3"/>
      <c r="K459" s="3"/>
      <c r="L459" s="3"/>
      <c r="M459" s="3"/>
      <c r="N459" s="3"/>
      <c r="O459" s="3"/>
      <c r="P459" s="3"/>
      <c r="Q459" s="3"/>
      <c r="R459" s="3"/>
      <c r="S459" s="2"/>
      <c r="T459" s="2"/>
      <c r="U459" s="2"/>
      <c r="V459" s="2"/>
      <c r="W459" s="2"/>
      <c r="X459" s="2"/>
      <c r="Y459" s="3"/>
      <c r="Z459" s="3"/>
      <c r="AA459" s="2"/>
      <c r="AB459" s="2"/>
      <c r="AC459" s="2"/>
      <c r="AD459" s="2"/>
      <c r="AE459" s="2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4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</row>
    <row r="460" ht="15.75">
      <c r="A460" s="3"/>
      <c r="B460" s="2"/>
      <c r="C460" s="2"/>
      <c r="D460" s="2"/>
      <c r="E460" s="2"/>
      <c r="F460" s="2"/>
      <c r="G460" s="2"/>
      <c r="H460" s="2"/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2"/>
      <c r="T460" s="2"/>
      <c r="U460" s="2"/>
      <c r="V460" s="2"/>
      <c r="W460" s="2"/>
      <c r="X460" s="2"/>
      <c r="Y460" s="3"/>
      <c r="Z460" s="3"/>
      <c r="AA460" s="2"/>
      <c r="AB460" s="2"/>
      <c r="AC460" s="2"/>
      <c r="AD460" s="2"/>
      <c r="AE460" s="2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4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</row>
    <row r="461" ht="15.75">
      <c r="A461" s="3"/>
      <c r="B461" s="2"/>
      <c r="C461" s="2"/>
      <c r="D461" s="2"/>
      <c r="E461" s="2"/>
      <c r="F461" s="2"/>
      <c r="G461" s="2"/>
      <c r="H461" s="2"/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2"/>
      <c r="T461" s="2"/>
      <c r="U461" s="2"/>
      <c r="V461" s="2"/>
      <c r="W461" s="2"/>
      <c r="X461" s="2"/>
      <c r="Y461" s="3"/>
      <c r="Z461" s="3"/>
      <c r="AA461" s="2"/>
      <c r="AB461" s="2"/>
      <c r="AC461" s="2"/>
      <c r="AD461" s="2"/>
      <c r="AE461" s="2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4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</row>
    <row r="462" ht="15.75">
      <c r="A462" s="3"/>
      <c r="B462" s="2"/>
      <c r="C462" s="2"/>
      <c r="D462" s="2"/>
      <c r="E462" s="2"/>
      <c r="F462" s="2"/>
      <c r="G462" s="2"/>
      <c r="H462" s="2"/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2"/>
      <c r="T462" s="2"/>
      <c r="U462" s="2"/>
      <c r="V462" s="2"/>
      <c r="W462" s="2"/>
      <c r="X462" s="2"/>
      <c r="Y462" s="3"/>
      <c r="Z462" s="3"/>
      <c r="AA462" s="2"/>
      <c r="AB462" s="2"/>
      <c r="AC462" s="2"/>
      <c r="AD462" s="2"/>
      <c r="AE462" s="2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4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</row>
    <row r="463" ht="15.75">
      <c r="A463" s="3"/>
      <c r="B463" s="2"/>
      <c r="C463" s="2"/>
      <c r="D463" s="2"/>
      <c r="E463" s="2"/>
      <c r="F463" s="2"/>
      <c r="G463" s="2"/>
      <c r="H463" s="2"/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2"/>
      <c r="T463" s="2"/>
      <c r="U463" s="2"/>
      <c r="V463" s="2"/>
      <c r="W463" s="2"/>
      <c r="X463" s="2"/>
      <c r="Y463" s="3"/>
      <c r="Z463" s="3"/>
      <c r="AA463" s="2"/>
      <c r="AB463" s="2"/>
      <c r="AC463" s="2"/>
      <c r="AD463" s="2"/>
      <c r="AE463" s="2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4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</row>
    <row r="464" ht="15.75">
      <c r="A464" s="3"/>
      <c r="B464" s="2"/>
      <c r="C464" s="2"/>
      <c r="D464" s="2"/>
      <c r="E464" s="2"/>
      <c r="F464" s="2"/>
      <c r="G464" s="2"/>
      <c r="H464" s="2"/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2"/>
      <c r="T464" s="2"/>
      <c r="U464" s="2"/>
      <c r="V464" s="2"/>
      <c r="W464" s="2"/>
      <c r="X464" s="2"/>
      <c r="Y464" s="3"/>
      <c r="Z464" s="3"/>
      <c r="AA464" s="2"/>
      <c r="AB464" s="2"/>
      <c r="AC464" s="2"/>
      <c r="AD464" s="2"/>
      <c r="AE464" s="2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4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</row>
    <row r="465" ht="15.75">
      <c r="A465" s="3"/>
      <c r="B465" s="2"/>
      <c r="C465" s="2"/>
      <c r="D465" s="2"/>
      <c r="E465" s="2"/>
      <c r="F465" s="2"/>
      <c r="G465" s="2"/>
      <c r="H465" s="2"/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2"/>
      <c r="T465" s="2"/>
      <c r="U465" s="2"/>
      <c r="V465" s="2"/>
      <c r="W465" s="2"/>
      <c r="X465" s="2"/>
      <c r="Y465" s="3"/>
      <c r="Z465" s="3"/>
      <c r="AA465" s="2"/>
      <c r="AB465" s="2"/>
      <c r="AC465" s="2"/>
      <c r="AD465" s="2"/>
      <c r="AE465" s="2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4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</row>
    <row r="466" ht="15.75">
      <c r="A466" s="3"/>
      <c r="B466" s="2"/>
      <c r="C466" s="2"/>
      <c r="D466" s="2"/>
      <c r="E466" s="2"/>
      <c r="F466" s="2"/>
      <c r="G466" s="2"/>
      <c r="H466" s="2"/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2"/>
      <c r="T466" s="2"/>
      <c r="U466" s="2"/>
      <c r="V466" s="2"/>
      <c r="W466" s="2"/>
      <c r="X466" s="2"/>
      <c r="Y466" s="3"/>
      <c r="Z466" s="3"/>
      <c r="AA466" s="2"/>
      <c r="AB466" s="2"/>
      <c r="AC466" s="2"/>
      <c r="AD466" s="2"/>
      <c r="AE466" s="2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4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</row>
    <row r="467" ht="15.75">
      <c r="A467" s="3"/>
      <c r="B467" s="2"/>
      <c r="C467" s="2"/>
      <c r="D467" s="2"/>
      <c r="E467" s="2"/>
      <c r="F467" s="2"/>
      <c r="G467" s="2"/>
      <c r="H467" s="2"/>
      <c r="I467" s="2"/>
      <c r="J467" s="3"/>
      <c r="K467" s="3"/>
      <c r="L467" s="3"/>
      <c r="M467" s="3"/>
      <c r="N467" s="3"/>
      <c r="O467" s="3"/>
      <c r="P467" s="3"/>
      <c r="Q467" s="3"/>
      <c r="R467" s="3"/>
      <c r="S467" s="2"/>
      <c r="T467" s="2"/>
      <c r="U467" s="2"/>
      <c r="V467" s="2"/>
      <c r="W467" s="2"/>
      <c r="X467" s="2"/>
      <c r="Y467" s="3"/>
      <c r="Z467" s="3"/>
      <c r="AA467" s="2"/>
      <c r="AB467" s="2"/>
      <c r="AC467" s="2"/>
      <c r="AD467" s="2"/>
      <c r="AE467" s="2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4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</row>
    <row r="468" ht="15.75">
      <c r="A468" s="3"/>
      <c r="B468" s="2"/>
      <c r="C468" s="2"/>
      <c r="D468" s="2"/>
      <c r="E468" s="2"/>
      <c r="F468" s="2"/>
      <c r="G468" s="2"/>
      <c r="H468" s="2"/>
      <c r="I468" s="2"/>
      <c r="J468" s="3"/>
      <c r="K468" s="3"/>
      <c r="L468" s="3"/>
      <c r="M468" s="3"/>
      <c r="N468" s="3"/>
      <c r="O468" s="3"/>
      <c r="P468" s="3"/>
      <c r="Q468" s="3"/>
      <c r="R468" s="3"/>
      <c r="S468" s="2"/>
      <c r="T468" s="2"/>
      <c r="U468" s="2"/>
      <c r="V468" s="2"/>
      <c r="W468" s="2"/>
      <c r="X468" s="2"/>
      <c r="Y468" s="3"/>
      <c r="Z468" s="3"/>
      <c r="AA468" s="2"/>
      <c r="AB468" s="2"/>
      <c r="AC468" s="2"/>
      <c r="AD468" s="2"/>
      <c r="AE468" s="2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4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</row>
    <row r="469" ht="15.75">
      <c r="A469" s="3"/>
      <c r="B469" s="2"/>
      <c r="C469" s="2"/>
      <c r="D469" s="2"/>
      <c r="E469" s="2"/>
      <c r="F469" s="2"/>
      <c r="G469" s="2"/>
      <c r="H469" s="2"/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2"/>
      <c r="T469" s="2"/>
      <c r="U469" s="2"/>
      <c r="V469" s="2"/>
      <c r="W469" s="2"/>
      <c r="X469" s="2"/>
      <c r="Y469" s="3"/>
      <c r="Z469" s="3"/>
      <c r="AA469" s="2"/>
      <c r="AB469" s="2"/>
      <c r="AC469" s="2"/>
      <c r="AD469" s="2"/>
      <c r="AE469" s="2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4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</row>
    <row r="470" ht="15.75">
      <c r="A470" s="3"/>
      <c r="B470" s="2"/>
      <c r="C470" s="2"/>
      <c r="D470" s="2"/>
      <c r="E470" s="2"/>
      <c r="F470" s="2"/>
      <c r="G470" s="2"/>
      <c r="H470" s="2"/>
      <c r="I470" s="2"/>
      <c r="J470" s="3"/>
      <c r="K470" s="3"/>
      <c r="L470" s="3"/>
      <c r="M470" s="3"/>
      <c r="N470" s="3"/>
      <c r="O470" s="3"/>
      <c r="P470" s="3"/>
      <c r="Q470" s="3"/>
      <c r="R470" s="3"/>
      <c r="S470" s="2"/>
      <c r="T470" s="2"/>
      <c r="U470" s="2"/>
      <c r="V470" s="2"/>
      <c r="W470" s="2"/>
      <c r="X470" s="2"/>
      <c r="Y470" s="3"/>
      <c r="Z470" s="3"/>
      <c r="AA470" s="2"/>
      <c r="AB470" s="2"/>
      <c r="AC470" s="2"/>
      <c r="AD470" s="2"/>
      <c r="AE470" s="2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4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</row>
    <row r="471" ht="15.75">
      <c r="A471" s="3"/>
      <c r="B471" s="2"/>
      <c r="C471" s="2"/>
      <c r="D471" s="2"/>
      <c r="E471" s="2"/>
      <c r="F471" s="2"/>
      <c r="G471" s="2"/>
      <c r="H471" s="2"/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2"/>
      <c r="T471" s="2"/>
      <c r="U471" s="2"/>
      <c r="V471" s="2"/>
      <c r="W471" s="2"/>
      <c r="X471" s="2"/>
      <c r="Y471" s="3"/>
      <c r="Z471" s="3"/>
      <c r="AA471" s="2"/>
      <c r="AB471" s="2"/>
      <c r="AC471" s="2"/>
      <c r="AD471" s="2"/>
      <c r="AE471" s="2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4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</row>
    <row r="472" ht="15.75">
      <c r="A472" s="3"/>
      <c r="B472" s="2"/>
      <c r="C472" s="2"/>
      <c r="D472" s="2"/>
      <c r="E472" s="2"/>
      <c r="F472" s="2"/>
      <c r="G472" s="2"/>
      <c r="H472" s="2"/>
      <c r="I472" s="2"/>
      <c r="J472" s="3"/>
      <c r="K472" s="3"/>
      <c r="L472" s="3"/>
      <c r="M472" s="3"/>
      <c r="N472" s="3"/>
      <c r="O472" s="3"/>
      <c r="P472" s="3"/>
      <c r="Q472" s="3"/>
      <c r="R472" s="3"/>
      <c r="S472" s="2"/>
      <c r="T472" s="2"/>
      <c r="U472" s="2"/>
      <c r="V472" s="2"/>
      <c r="W472" s="2"/>
      <c r="X472" s="2"/>
      <c r="Y472" s="3"/>
      <c r="Z472" s="3"/>
      <c r="AA472" s="2"/>
      <c r="AB472" s="2"/>
      <c r="AC472" s="2"/>
      <c r="AD472" s="2"/>
      <c r="AE472" s="2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4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</row>
    <row r="473" ht="15.75">
      <c r="A473" s="3"/>
      <c r="B473" s="2"/>
      <c r="C473" s="2"/>
      <c r="D473" s="2"/>
      <c r="E473" s="2"/>
      <c r="F473" s="2"/>
      <c r="G473" s="2"/>
      <c r="H473" s="2"/>
      <c r="I473" s="2"/>
      <c r="J473" s="3"/>
      <c r="K473" s="3"/>
      <c r="L473" s="3"/>
      <c r="M473" s="3"/>
      <c r="N473" s="3"/>
      <c r="O473" s="3"/>
      <c r="P473" s="3"/>
      <c r="Q473" s="3"/>
      <c r="R473" s="3"/>
      <c r="S473" s="2"/>
      <c r="T473" s="2"/>
      <c r="U473" s="2"/>
      <c r="V473" s="2"/>
      <c r="W473" s="2"/>
      <c r="X473" s="2"/>
      <c r="Y473" s="3"/>
      <c r="Z473" s="3"/>
      <c r="AA473" s="2"/>
      <c r="AB473" s="2"/>
      <c r="AC473" s="2"/>
      <c r="AD473" s="2"/>
      <c r="AE473" s="2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4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</row>
    <row r="474" ht="15.75">
      <c r="A474" s="3"/>
      <c r="B474" s="2"/>
      <c r="C474" s="2"/>
      <c r="D474" s="2"/>
      <c r="E474" s="2"/>
      <c r="F474" s="2"/>
      <c r="G474" s="2"/>
      <c r="H474" s="2"/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2"/>
      <c r="T474" s="2"/>
      <c r="U474" s="2"/>
      <c r="V474" s="2"/>
      <c r="W474" s="2"/>
      <c r="X474" s="2"/>
      <c r="Y474" s="3"/>
      <c r="Z474" s="3"/>
      <c r="AA474" s="2"/>
      <c r="AB474" s="2"/>
      <c r="AC474" s="2"/>
      <c r="AD474" s="2"/>
      <c r="AE474" s="2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4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</row>
    <row r="475" ht="15.75">
      <c r="A475" s="3"/>
      <c r="B475" s="2"/>
      <c r="C475" s="2"/>
      <c r="D475" s="2"/>
      <c r="E475" s="2"/>
      <c r="F475" s="2"/>
      <c r="G475" s="2"/>
      <c r="H475" s="2"/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2"/>
      <c r="T475" s="2"/>
      <c r="U475" s="2"/>
      <c r="V475" s="2"/>
      <c r="W475" s="2"/>
      <c r="X475" s="2"/>
      <c r="Y475" s="3"/>
      <c r="Z475" s="3"/>
      <c r="AA475" s="2"/>
      <c r="AB475" s="2"/>
      <c r="AC475" s="2"/>
      <c r="AD475" s="2"/>
      <c r="AE475" s="2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4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</row>
    <row r="476" ht="15.75">
      <c r="A476" s="3"/>
      <c r="B476" s="2"/>
      <c r="C476" s="2"/>
      <c r="D476" s="2"/>
      <c r="E476" s="2"/>
      <c r="F476" s="2"/>
      <c r="G476" s="2"/>
      <c r="H476" s="2"/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2"/>
      <c r="T476" s="2"/>
      <c r="U476" s="2"/>
      <c r="V476" s="2"/>
      <c r="W476" s="2"/>
      <c r="X476" s="2"/>
      <c r="Y476" s="3"/>
      <c r="Z476" s="3"/>
      <c r="AA476" s="2"/>
      <c r="AB476" s="2"/>
      <c r="AC476" s="2"/>
      <c r="AD476" s="2"/>
      <c r="AE476" s="2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4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</row>
    <row r="477" ht="15.75">
      <c r="A477" s="3"/>
      <c r="B477" s="2"/>
      <c r="C477" s="2"/>
      <c r="D477" s="2"/>
      <c r="E477" s="2"/>
      <c r="F477" s="2"/>
      <c r="G477" s="2"/>
      <c r="H477" s="2"/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2"/>
      <c r="T477" s="2"/>
      <c r="U477" s="2"/>
      <c r="V477" s="2"/>
      <c r="W477" s="2"/>
      <c r="X477" s="2"/>
      <c r="Y477" s="3"/>
      <c r="Z477" s="3"/>
      <c r="AA477" s="2"/>
      <c r="AB477" s="2"/>
      <c r="AC477" s="2"/>
      <c r="AD477" s="2"/>
      <c r="AE477" s="2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4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</row>
    <row r="478" ht="15.75">
      <c r="A478" s="3"/>
      <c r="B478" s="2"/>
      <c r="C478" s="2"/>
      <c r="D478" s="2"/>
      <c r="E478" s="2"/>
      <c r="F478" s="2"/>
      <c r="G478" s="2"/>
      <c r="H478" s="2"/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2"/>
      <c r="T478" s="2"/>
      <c r="U478" s="2"/>
      <c r="V478" s="2"/>
      <c r="W478" s="2"/>
      <c r="X478" s="2"/>
      <c r="Y478" s="3"/>
      <c r="Z478" s="3"/>
      <c r="AA478" s="2"/>
      <c r="AB478" s="2"/>
      <c r="AC478" s="2"/>
      <c r="AD478" s="2"/>
      <c r="AE478" s="2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4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</row>
    <row r="479" ht="15.75">
      <c r="A479" s="3"/>
      <c r="B479" s="2"/>
      <c r="C479" s="2"/>
      <c r="D479" s="2"/>
      <c r="E479" s="2"/>
      <c r="F479" s="2"/>
      <c r="G479" s="2"/>
      <c r="H479" s="2"/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2"/>
      <c r="T479" s="2"/>
      <c r="U479" s="2"/>
      <c r="V479" s="2"/>
      <c r="W479" s="2"/>
      <c r="X479" s="2"/>
      <c r="Y479" s="3"/>
      <c r="Z479" s="3"/>
      <c r="AA479" s="2"/>
      <c r="AB479" s="2"/>
      <c r="AC479" s="2"/>
      <c r="AD479" s="2"/>
      <c r="AE479" s="2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4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</row>
    <row r="480" ht="15.75">
      <c r="A480" s="3"/>
      <c r="B480" s="2"/>
      <c r="C480" s="2"/>
      <c r="D480" s="2"/>
      <c r="E480" s="2"/>
      <c r="F480" s="2"/>
      <c r="G480" s="2"/>
      <c r="H480" s="2"/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2"/>
      <c r="T480" s="2"/>
      <c r="U480" s="2"/>
      <c r="V480" s="2"/>
      <c r="W480" s="2"/>
      <c r="X480" s="2"/>
      <c r="Y480" s="3"/>
      <c r="Z480" s="3"/>
      <c r="AA480" s="2"/>
      <c r="AB480" s="2"/>
      <c r="AC480" s="2"/>
      <c r="AD480" s="2"/>
      <c r="AE480" s="2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4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</row>
    <row r="481" ht="15.75">
      <c r="A481" s="3"/>
      <c r="B481" s="2"/>
      <c r="C481" s="2"/>
      <c r="D481" s="2"/>
      <c r="E481" s="2"/>
      <c r="F481" s="2"/>
      <c r="G481" s="2"/>
      <c r="H481" s="2"/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2"/>
      <c r="T481" s="2"/>
      <c r="U481" s="2"/>
      <c r="V481" s="2"/>
      <c r="W481" s="2"/>
      <c r="X481" s="2"/>
      <c r="Y481" s="3"/>
      <c r="Z481" s="3"/>
      <c r="AA481" s="2"/>
      <c r="AB481" s="2"/>
      <c r="AC481" s="2"/>
      <c r="AD481" s="2"/>
      <c r="AE481" s="2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4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</row>
    <row r="482" ht="15.75">
      <c r="A482" s="3"/>
      <c r="B482" s="2"/>
      <c r="C482" s="2"/>
      <c r="D482" s="2"/>
      <c r="E482" s="2"/>
      <c r="F482" s="2"/>
      <c r="G482" s="2"/>
      <c r="H482" s="2"/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2"/>
      <c r="T482" s="2"/>
      <c r="U482" s="2"/>
      <c r="V482" s="2"/>
      <c r="W482" s="2"/>
      <c r="X482" s="2"/>
      <c r="Y482" s="3"/>
      <c r="Z482" s="3"/>
      <c r="AA482" s="2"/>
      <c r="AB482" s="2"/>
      <c r="AC482" s="2"/>
      <c r="AD482" s="2"/>
      <c r="AE482" s="2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4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</row>
    <row r="483" ht="15.75">
      <c r="A483" s="3"/>
      <c r="B483" s="2"/>
      <c r="C483" s="2"/>
      <c r="D483" s="2"/>
      <c r="E483" s="2"/>
      <c r="F483" s="2"/>
      <c r="G483" s="2"/>
      <c r="H483" s="2"/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2"/>
      <c r="T483" s="2"/>
      <c r="U483" s="2"/>
      <c r="V483" s="2"/>
      <c r="W483" s="2"/>
      <c r="X483" s="2"/>
      <c r="Y483" s="3"/>
      <c r="Z483" s="3"/>
      <c r="AA483" s="2"/>
      <c r="AB483" s="2"/>
      <c r="AC483" s="2"/>
      <c r="AD483" s="2"/>
      <c r="AE483" s="2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4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</row>
    <row r="484" ht="15.75">
      <c r="A484" s="3"/>
      <c r="B484" s="2"/>
      <c r="C484" s="2"/>
      <c r="D484" s="2"/>
      <c r="E484" s="2"/>
      <c r="F484" s="2"/>
      <c r="G484" s="2"/>
      <c r="H484" s="2"/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2"/>
      <c r="T484" s="2"/>
      <c r="U484" s="2"/>
      <c r="V484" s="2"/>
      <c r="W484" s="2"/>
      <c r="X484" s="2"/>
      <c r="Y484" s="3"/>
      <c r="Z484" s="3"/>
      <c r="AA484" s="2"/>
      <c r="AB484" s="2"/>
      <c r="AC484" s="2"/>
      <c r="AD484" s="2"/>
      <c r="AE484" s="2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4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</row>
    <row r="485" ht="15.75">
      <c r="A485" s="3"/>
      <c r="B485" s="2"/>
      <c r="C485" s="2"/>
      <c r="D485" s="2"/>
      <c r="E485" s="2"/>
      <c r="F485" s="2"/>
      <c r="G485" s="2"/>
      <c r="H485" s="2"/>
      <c r="I485" s="2"/>
      <c r="J485" s="3"/>
      <c r="K485" s="3"/>
      <c r="L485" s="3"/>
      <c r="M485" s="3"/>
      <c r="N485" s="3"/>
      <c r="O485" s="3"/>
      <c r="P485" s="3"/>
      <c r="Q485" s="3"/>
      <c r="R485" s="3"/>
      <c r="S485" s="2"/>
      <c r="T485" s="2"/>
      <c r="U485" s="2"/>
      <c r="V485" s="2"/>
      <c r="W485" s="2"/>
      <c r="X485" s="2"/>
      <c r="Y485" s="3"/>
      <c r="Z485" s="3"/>
      <c r="AA485" s="2"/>
      <c r="AB485" s="2"/>
      <c r="AC485" s="2"/>
      <c r="AD485" s="2"/>
      <c r="AE485" s="2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4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</row>
    <row r="486" ht="15.75">
      <c r="A486" s="3"/>
      <c r="B486" s="2"/>
      <c r="C486" s="2"/>
      <c r="D486" s="2"/>
      <c r="E486" s="2"/>
      <c r="F486" s="2"/>
      <c r="G486" s="2"/>
      <c r="H486" s="2"/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2"/>
      <c r="T486" s="2"/>
      <c r="U486" s="2"/>
      <c r="V486" s="2"/>
      <c r="W486" s="2"/>
      <c r="X486" s="2"/>
      <c r="Y486" s="3"/>
      <c r="Z486" s="3"/>
      <c r="AA486" s="2"/>
      <c r="AB486" s="2"/>
      <c r="AC486" s="2"/>
      <c r="AD486" s="2"/>
      <c r="AE486" s="2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4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</row>
    <row r="487" ht="15.75">
      <c r="A487" s="3"/>
      <c r="B487" s="2"/>
      <c r="C487" s="2"/>
      <c r="D487" s="2"/>
      <c r="E487" s="2"/>
      <c r="F487" s="2"/>
      <c r="G487" s="2"/>
      <c r="H487" s="2"/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2"/>
      <c r="T487" s="2"/>
      <c r="U487" s="2"/>
      <c r="V487" s="2"/>
      <c r="W487" s="2"/>
      <c r="X487" s="2"/>
      <c r="Y487" s="3"/>
      <c r="Z487" s="3"/>
      <c r="AA487" s="2"/>
      <c r="AB487" s="2"/>
      <c r="AC487" s="2"/>
      <c r="AD487" s="2"/>
      <c r="AE487" s="2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4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</row>
    <row r="488" ht="15.75">
      <c r="A488" s="3"/>
      <c r="B488" s="2"/>
      <c r="C488" s="2"/>
      <c r="D488" s="2"/>
      <c r="E488" s="2"/>
      <c r="F488" s="2"/>
      <c r="G488" s="2"/>
      <c r="H488" s="2"/>
      <c r="I488" s="2"/>
      <c r="J488" s="3"/>
      <c r="K488" s="3"/>
      <c r="L488" s="3"/>
      <c r="M488" s="3"/>
      <c r="N488" s="3"/>
      <c r="O488" s="3"/>
      <c r="P488" s="3"/>
      <c r="Q488" s="3"/>
      <c r="R488" s="3"/>
      <c r="S488" s="2"/>
      <c r="T488" s="2"/>
      <c r="U488" s="2"/>
      <c r="V488" s="2"/>
      <c r="W488" s="2"/>
      <c r="X488" s="2"/>
      <c r="Y488" s="3"/>
      <c r="Z488" s="3"/>
      <c r="AA488" s="2"/>
      <c r="AB488" s="2"/>
      <c r="AC488" s="2"/>
      <c r="AD488" s="2"/>
      <c r="AE488" s="2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4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</row>
    <row r="489" ht="15.75">
      <c r="A489" s="3"/>
      <c r="B489" s="2"/>
      <c r="C489" s="2"/>
      <c r="D489" s="2"/>
      <c r="E489" s="2"/>
      <c r="F489" s="2"/>
      <c r="G489" s="2"/>
      <c r="H489" s="2"/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2"/>
      <c r="T489" s="2"/>
      <c r="U489" s="2"/>
      <c r="V489" s="2"/>
      <c r="W489" s="2"/>
      <c r="X489" s="2"/>
      <c r="Y489" s="3"/>
      <c r="Z489" s="3"/>
      <c r="AA489" s="2"/>
      <c r="AB489" s="2"/>
      <c r="AC489" s="2"/>
      <c r="AD489" s="2"/>
      <c r="AE489" s="2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4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</row>
    <row r="490" ht="15.75">
      <c r="A490" s="3"/>
      <c r="B490" s="2"/>
      <c r="C490" s="2"/>
      <c r="D490" s="2"/>
      <c r="E490" s="2"/>
      <c r="F490" s="2"/>
      <c r="G490" s="2"/>
      <c r="H490" s="2"/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2"/>
      <c r="T490" s="2"/>
      <c r="U490" s="2"/>
      <c r="V490" s="2"/>
      <c r="W490" s="2"/>
      <c r="X490" s="2"/>
      <c r="Y490" s="3"/>
      <c r="Z490" s="3"/>
      <c r="AA490" s="2"/>
      <c r="AB490" s="2"/>
      <c r="AC490" s="2"/>
      <c r="AD490" s="2"/>
      <c r="AE490" s="2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4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</row>
    <row r="491" ht="15.75">
      <c r="A491" s="3"/>
      <c r="B491" s="2"/>
      <c r="C491" s="2"/>
      <c r="D491" s="2"/>
      <c r="E491" s="2"/>
      <c r="F491" s="2"/>
      <c r="G491" s="2"/>
      <c r="H491" s="2"/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2"/>
      <c r="T491" s="2"/>
      <c r="U491" s="2"/>
      <c r="V491" s="2"/>
      <c r="W491" s="2"/>
      <c r="X491" s="2"/>
      <c r="Y491" s="3"/>
      <c r="Z491" s="3"/>
      <c r="AA491" s="2"/>
      <c r="AB491" s="2"/>
      <c r="AC491" s="2"/>
      <c r="AD491" s="2"/>
      <c r="AE491" s="2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4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</row>
    <row r="492" ht="15.75">
      <c r="A492" s="3"/>
      <c r="B492" s="2"/>
      <c r="C492" s="2"/>
      <c r="D492" s="2"/>
      <c r="E492" s="2"/>
      <c r="F492" s="2"/>
      <c r="G492" s="2"/>
      <c r="H492" s="2"/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2"/>
      <c r="T492" s="2"/>
      <c r="U492" s="2"/>
      <c r="V492" s="2"/>
      <c r="W492" s="2"/>
      <c r="X492" s="2"/>
      <c r="Y492" s="3"/>
      <c r="Z492" s="3"/>
      <c r="AA492" s="2"/>
      <c r="AB492" s="2"/>
      <c r="AC492" s="2"/>
      <c r="AD492" s="2"/>
      <c r="AE492" s="2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4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</row>
    <row r="493" ht="15.75">
      <c r="A493" s="3"/>
      <c r="B493" s="2"/>
      <c r="C493" s="2"/>
      <c r="D493" s="2"/>
      <c r="E493" s="2"/>
      <c r="F493" s="2"/>
      <c r="G493" s="2"/>
      <c r="H493" s="2"/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2"/>
      <c r="T493" s="2"/>
      <c r="U493" s="2"/>
      <c r="V493" s="2"/>
      <c r="W493" s="2"/>
      <c r="X493" s="2"/>
      <c r="Y493" s="3"/>
      <c r="Z493" s="3"/>
      <c r="AA493" s="2"/>
      <c r="AB493" s="2"/>
      <c r="AC493" s="2"/>
      <c r="AD493" s="2"/>
      <c r="AE493" s="2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4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</row>
    <row r="494" ht="15.75">
      <c r="A494" s="3"/>
      <c r="B494" s="2"/>
      <c r="C494" s="2"/>
      <c r="D494" s="2"/>
      <c r="E494" s="2"/>
      <c r="F494" s="2"/>
      <c r="G494" s="2"/>
      <c r="H494" s="2"/>
      <c r="I494" s="2"/>
      <c r="J494" s="3"/>
      <c r="K494" s="3"/>
      <c r="L494" s="3"/>
      <c r="M494" s="3"/>
      <c r="N494" s="3"/>
      <c r="O494" s="3"/>
      <c r="P494" s="3"/>
      <c r="Q494" s="3"/>
      <c r="R494" s="3"/>
      <c r="S494" s="2"/>
      <c r="T494" s="2"/>
      <c r="U494" s="2"/>
      <c r="V494" s="2"/>
      <c r="W494" s="2"/>
      <c r="X494" s="2"/>
      <c r="Y494" s="3"/>
      <c r="Z494" s="3"/>
      <c r="AA494" s="2"/>
      <c r="AB494" s="2"/>
      <c r="AC494" s="2"/>
      <c r="AD494" s="2"/>
      <c r="AE494" s="2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4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</row>
    <row r="495" ht="15.75">
      <c r="A495" s="3"/>
      <c r="B495" s="2"/>
      <c r="C495" s="2"/>
      <c r="D495" s="2"/>
      <c r="E495" s="2"/>
      <c r="F495" s="2"/>
      <c r="G495" s="2"/>
      <c r="H495" s="2"/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2"/>
      <c r="T495" s="2"/>
      <c r="U495" s="2"/>
      <c r="V495" s="2"/>
      <c r="W495" s="2"/>
      <c r="X495" s="2"/>
      <c r="Y495" s="3"/>
      <c r="Z495" s="3"/>
      <c r="AA495" s="2"/>
      <c r="AB495" s="2"/>
      <c r="AC495" s="2"/>
      <c r="AD495" s="2"/>
      <c r="AE495" s="2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4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</row>
    <row r="496" ht="15.75">
      <c r="A496" s="3"/>
      <c r="B496" s="2"/>
      <c r="C496" s="2"/>
      <c r="D496" s="2"/>
      <c r="E496" s="2"/>
      <c r="F496" s="2"/>
      <c r="G496" s="2"/>
      <c r="H496" s="2"/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2"/>
      <c r="T496" s="2"/>
      <c r="U496" s="2"/>
      <c r="V496" s="2"/>
      <c r="W496" s="2"/>
      <c r="X496" s="2"/>
      <c r="Y496" s="3"/>
      <c r="Z496" s="3"/>
      <c r="AA496" s="2"/>
      <c r="AB496" s="2"/>
      <c r="AC496" s="2"/>
      <c r="AD496" s="2"/>
      <c r="AE496" s="2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4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</row>
    <row r="497" ht="15.75">
      <c r="A497" s="3"/>
      <c r="B497" s="2"/>
      <c r="C497" s="2"/>
      <c r="D497" s="2"/>
      <c r="E497" s="2"/>
      <c r="F497" s="2"/>
      <c r="G497" s="2"/>
      <c r="H497" s="2"/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2"/>
      <c r="T497" s="2"/>
      <c r="U497" s="2"/>
      <c r="V497" s="2"/>
      <c r="W497" s="2"/>
      <c r="X497" s="2"/>
      <c r="Y497" s="3"/>
      <c r="Z497" s="3"/>
      <c r="AA497" s="2"/>
      <c r="AB497" s="2"/>
      <c r="AC497" s="2"/>
      <c r="AD497" s="2"/>
      <c r="AE497" s="2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4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</row>
    <row r="498" ht="15.75">
      <c r="A498" s="3"/>
      <c r="B498" s="2"/>
      <c r="C498" s="2"/>
      <c r="D498" s="2"/>
      <c r="E498" s="2"/>
      <c r="F498" s="2"/>
      <c r="G498" s="2"/>
      <c r="H498" s="2"/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2"/>
      <c r="T498" s="2"/>
      <c r="U498" s="2"/>
      <c r="V498" s="2"/>
      <c r="W498" s="2"/>
      <c r="X498" s="2"/>
      <c r="Y498" s="3"/>
      <c r="Z498" s="3"/>
      <c r="AA498" s="2"/>
      <c r="AB498" s="2"/>
      <c r="AC498" s="2"/>
      <c r="AD498" s="2"/>
      <c r="AE498" s="2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4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</row>
    <row r="499" ht="15.75">
      <c r="A499" s="3"/>
      <c r="B499" s="2"/>
      <c r="C499" s="2"/>
      <c r="D499" s="2"/>
      <c r="E499" s="2"/>
      <c r="F499" s="2"/>
      <c r="G499" s="2"/>
      <c r="H499" s="2"/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2"/>
      <c r="T499" s="2"/>
      <c r="U499" s="2"/>
      <c r="V499" s="2"/>
      <c r="W499" s="2"/>
      <c r="X499" s="2"/>
      <c r="Y499" s="3"/>
      <c r="Z499" s="3"/>
      <c r="AA499" s="2"/>
      <c r="AB499" s="2"/>
      <c r="AC499" s="2"/>
      <c r="AD499" s="2"/>
      <c r="AE499" s="2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4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</row>
    <row r="500" ht="15.75">
      <c r="A500" s="3"/>
      <c r="B500" s="2"/>
      <c r="C500" s="2"/>
      <c r="D500" s="2"/>
      <c r="E500" s="2"/>
      <c r="F500" s="2"/>
      <c r="G500" s="2"/>
      <c r="H500" s="2"/>
      <c r="I500" s="2"/>
      <c r="J500" s="3"/>
      <c r="K500" s="3"/>
      <c r="L500" s="3"/>
      <c r="M500" s="3"/>
      <c r="N500" s="3"/>
      <c r="O500" s="3"/>
      <c r="P500" s="3"/>
      <c r="Q500" s="3"/>
      <c r="R500" s="3"/>
      <c r="S500" s="2"/>
      <c r="T500" s="2"/>
      <c r="U500" s="2"/>
      <c r="V500" s="2"/>
      <c r="W500" s="2"/>
      <c r="X500" s="2"/>
      <c r="Y500" s="3"/>
      <c r="Z500" s="3"/>
      <c r="AA500" s="2"/>
      <c r="AB500" s="2"/>
      <c r="AC500" s="2"/>
      <c r="AD500" s="2"/>
      <c r="AE500" s="2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4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</row>
    <row r="501" ht="15.75">
      <c r="A501" s="3"/>
      <c r="B501" s="2"/>
      <c r="C501" s="2"/>
      <c r="D501" s="2"/>
      <c r="E501" s="2"/>
      <c r="F501" s="2"/>
      <c r="G501" s="2"/>
      <c r="H501" s="2"/>
      <c r="I501" s="2"/>
      <c r="J501" s="3"/>
      <c r="K501" s="3"/>
      <c r="L501" s="3"/>
      <c r="M501" s="3"/>
      <c r="N501" s="3"/>
      <c r="O501" s="3"/>
      <c r="P501" s="3"/>
      <c r="Q501" s="3"/>
      <c r="R501" s="3"/>
      <c r="S501" s="2"/>
      <c r="T501" s="2"/>
      <c r="U501" s="2"/>
      <c r="V501" s="2"/>
      <c r="W501" s="2"/>
      <c r="X501" s="2"/>
      <c r="Y501" s="3"/>
      <c r="Z501" s="3"/>
      <c r="AA501" s="2"/>
      <c r="AB501" s="2"/>
      <c r="AC501" s="2"/>
      <c r="AD501" s="2"/>
      <c r="AE501" s="2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4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</row>
    <row r="502" ht="15.75">
      <c r="A502" s="3"/>
      <c r="B502" s="2"/>
      <c r="C502" s="2"/>
      <c r="D502" s="2"/>
      <c r="E502" s="2"/>
      <c r="F502" s="2"/>
      <c r="G502" s="2"/>
      <c r="H502" s="2"/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2"/>
      <c r="T502" s="2"/>
      <c r="U502" s="2"/>
      <c r="V502" s="2"/>
      <c r="W502" s="2"/>
      <c r="X502" s="2"/>
      <c r="Y502" s="3"/>
      <c r="Z502" s="3"/>
      <c r="AA502" s="2"/>
      <c r="AB502" s="2"/>
      <c r="AC502" s="2"/>
      <c r="AD502" s="2"/>
      <c r="AE502" s="2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4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</row>
    <row r="503" ht="15.75">
      <c r="A503" s="3"/>
      <c r="B503" s="2"/>
      <c r="C503" s="2"/>
      <c r="D503" s="2"/>
      <c r="E503" s="2"/>
      <c r="F503" s="2"/>
      <c r="G503" s="2"/>
      <c r="H503" s="2"/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2"/>
      <c r="T503" s="2"/>
      <c r="U503" s="2"/>
      <c r="V503" s="2"/>
      <c r="W503" s="2"/>
      <c r="X503" s="2"/>
      <c r="Y503" s="3"/>
      <c r="Z503" s="3"/>
      <c r="AA503" s="2"/>
      <c r="AB503" s="2"/>
      <c r="AC503" s="2"/>
      <c r="AD503" s="2"/>
      <c r="AE503" s="2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4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</row>
    <row r="504" ht="15.75">
      <c r="A504" s="3"/>
      <c r="B504" s="2"/>
      <c r="C504" s="2"/>
      <c r="D504" s="2"/>
      <c r="E504" s="2"/>
      <c r="F504" s="2"/>
      <c r="G504" s="2"/>
      <c r="H504" s="2"/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2"/>
      <c r="T504" s="2"/>
      <c r="U504" s="2"/>
      <c r="V504" s="2"/>
      <c r="W504" s="2"/>
      <c r="X504" s="2"/>
      <c r="Y504" s="3"/>
      <c r="Z504" s="3"/>
      <c r="AA504" s="2"/>
      <c r="AB504" s="2"/>
      <c r="AC504" s="2"/>
      <c r="AD504" s="2"/>
      <c r="AE504" s="2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4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</row>
    <row r="505" ht="15.75">
      <c r="A505" s="3"/>
      <c r="B505" s="2"/>
      <c r="C505" s="2"/>
      <c r="D505" s="2"/>
      <c r="E505" s="2"/>
      <c r="F505" s="2"/>
      <c r="G505" s="2"/>
      <c r="H505" s="2"/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2"/>
      <c r="T505" s="2"/>
      <c r="U505" s="2"/>
      <c r="V505" s="2"/>
      <c r="W505" s="2"/>
      <c r="X505" s="2"/>
      <c r="Y505" s="3"/>
      <c r="Z505" s="3"/>
      <c r="AA505" s="2"/>
      <c r="AB505" s="2"/>
      <c r="AC505" s="2"/>
      <c r="AD505" s="2"/>
      <c r="AE505" s="2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4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</row>
    <row r="506" ht="15.75">
      <c r="A506" s="3"/>
      <c r="B506" s="2"/>
      <c r="C506" s="2"/>
      <c r="D506" s="2"/>
      <c r="E506" s="2"/>
      <c r="F506" s="2"/>
      <c r="G506" s="2"/>
      <c r="H506" s="2"/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2"/>
      <c r="T506" s="2"/>
      <c r="U506" s="2"/>
      <c r="V506" s="2"/>
      <c r="W506" s="2"/>
      <c r="X506" s="2"/>
      <c r="Y506" s="3"/>
      <c r="Z506" s="3"/>
      <c r="AA506" s="2"/>
      <c r="AB506" s="2"/>
      <c r="AC506" s="2"/>
      <c r="AD506" s="2"/>
      <c r="AE506" s="2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4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</row>
    <row r="507" ht="15.75">
      <c r="A507" s="3"/>
      <c r="B507" s="2"/>
      <c r="C507" s="2"/>
      <c r="D507" s="2"/>
      <c r="E507" s="2"/>
      <c r="F507" s="2"/>
      <c r="G507" s="2"/>
      <c r="H507" s="2"/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2"/>
      <c r="T507" s="2"/>
      <c r="U507" s="2"/>
      <c r="V507" s="2"/>
      <c r="W507" s="2"/>
      <c r="X507" s="2"/>
      <c r="Y507" s="3"/>
      <c r="Z507" s="3"/>
      <c r="AA507" s="2"/>
      <c r="AB507" s="2"/>
      <c r="AC507" s="2"/>
      <c r="AD507" s="2"/>
      <c r="AE507" s="2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4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</row>
    <row r="508" ht="15.75">
      <c r="A508" s="3"/>
      <c r="B508" s="2"/>
      <c r="C508" s="2"/>
      <c r="D508" s="2"/>
      <c r="E508" s="2"/>
      <c r="F508" s="2"/>
      <c r="G508" s="2"/>
      <c r="H508" s="2"/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2"/>
      <c r="T508" s="2"/>
      <c r="U508" s="2"/>
      <c r="V508" s="2"/>
      <c r="W508" s="2"/>
      <c r="X508" s="2"/>
      <c r="Y508" s="3"/>
      <c r="Z508" s="3"/>
      <c r="AA508" s="2"/>
      <c r="AB508" s="2"/>
      <c r="AC508" s="2"/>
      <c r="AD508" s="2"/>
      <c r="AE508" s="2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4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</row>
    <row r="509" ht="15.75">
      <c r="A509" s="3"/>
      <c r="B509" s="2"/>
      <c r="C509" s="2"/>
      <c r="D509" s="2"/>
      <c r="E509" s="2"/>
      <c r="F509" s="2"/>
      <c r="G509" s="2"/>
      <c r="H509" s="2"/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2"/>
      <c r="T509" s="2"/>
      <c r="U509" s="2"/>
      <c r="V509" s="2"/>
      <c r="W509" s="2"/>
      <c r="X509" s="2"/>
      <c r="Y509" s="3"/>
      <c r="Z509" s="3"/>
      <c r="AA509" s="2"/>
      <c r="AB509" s="2"/>
      <c r="AC509" s="2"/>
      <c r="AD509" s="2"/>
      <c r="AE509" s="2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4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</row>
    <row r="510" ht="15.75">
      <c r="A510" s="3"/>
      <c r="B510" s="2"/>
      <c r="C510" s="2"/>
      <c r="D510" s="2"/>
      <c r="E510" s="2"/>
      <c r="F510" s="2"/>
      <c r="G510" s="2"/>
      <c r="H510" s="2"/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2"/>
      <c r="T510" s="2"/>
      <c r="U510" s="2"/>
      <c r="V510" s="2"/>
      <c r="W510" s="2"/>
      <c r="X510" s="2"/>
      <c r="Y510" s="3"/>
      <c r="Z510" s="3"/>
      <c r="AA510" s="2"/>
      <c r="AB510" s="2"/>
      <c r="AC510" s="2"/>
      <c r="AD510" s="2"/>
      <c r="AE510" s="2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4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</row>
    <row r="511" ht="15.75">
      <c r="A511" s="3"/>
      <c r="B511" s="2"/>
      <c r="C511" s="2"/>
      <c r="D511" s="2"/>
      <c r="E511" s="2"/>
      <c r="F511" s="2"/>
      <c r="G511" s="2"/>
      <c r="H511" s="2"/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2"/>
      <c r="T511" s="2"/>
      <c r="U511" s="2"/>
      <c r="V511" s="2"/>
      <c r="W511" s="2"/>
      <c r="X511" s="2"/>
      <c r="Y511" s="3"/>
      <c r="Z511" s="3"/>
      <c r="AA511" s="2"/>
      <c r="AB511" s="2"/>
      <c r="AC511" s="2"/>
      <c r="AD511" s="2"/>
      <c r="AE511" s="2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4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</row>
    <row r="512" ht="15.75">
      <c r="A512" s="3"/>
      <c r="B512" s="2"/>
      <c r="C512" s="2"/>
      <c r="D512" s="2"/>
      <c r="E512" s="2"/>
      <c r="F512" s="2"/>
      <c r="G512" s="2"/>
      <c r="H512" s="2"/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2"/>
      <c r="T512" s="2"/>
      <c r="U512" s="2"/>
      <c r="V512" s="2"/>
      <c r="W512" s="2"/>
      <c r="X512" s="2"/>
      <c r="Y512" s="3"/>
      <c r="Z512" s="3"/>
      <c r="AA512" s="2"/>
      <c r="AB512" s="2"/>
      <c r="AC512" s="2"/>
      <c r="AD512" s="2"/>
      <c r="AE512" s="2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4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</row>
    <row r="513" ht="15.75">
      <c r="A513" s="3"/>
      <c r="B513" s="2"/>
      <c r="C513" s="2"/>
      <c r="D513" s="2"/>
      <c r="E513" s="2"/>
      <c r="F513" s="2"/>
      <c r="G513" s="2"/>
      <c r="H513" s="2"/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2"/>
      <c r="T513" s="2"/>
      <c r="U513" s="2"/>
      <c r="V513" s="2"/>
      <c r="W513" s="2"/>
      <c r="X513" s="2"/>
      <c r="Y513" s="3"/>
      <c r="Z513" s="3"/>
      <c r="AA513" s="2"/>
      <c r="AB513" s="2"/>
      <c r="AC513" s="2"/>
      <c r="AD513" s="2"/>
      <c r="AE513" s="2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4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</row>
    <row r="514" ht="15.75">
      <c r="A514" s="3"/>
      <c r="B514" s="2"/>
      <c r="C514" s="2"/>
      <c r="D514" s="2"/>
      <c r="E514" s="2"/>
      <c r="F514" s="2"/>
      <c r="G514" s="2"/>
      <c r="H514" s="2"/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2"/>
      <c r="T514" s="2"/>
      <c r="U514" s="2"/>
      <c r="V514" s="2"/>
      <c r="W514" s="2"/>
      <c r="X514" s="2"/>
      <c r="Y514" s="3"/>
      <c r="Z514" s="3"/>
      <c r="AA514" s="2"/>
      <c r="AB514" s="2"/>
      <c r="AC514" s="2"/>
      <c r="AD514" s="2"/>
      <c r="AE514" s="2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4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</row>
    <row r="515" ht="15.75">
      <c r="A515" s="3"/>
      <c r="B515" s="2"/>
      <c r="C515" s="2"/>
      <c r="D515" s="2"/>
      <c r="E515" s="2"/>
      <c r="F515" s="2"/>
      <c r="G515" s="2"/>
      <c r="H515" s="2"/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2"/>
      <c r="T515" s="2"/>
      <c r="U515" s="2"/>
      <c r="V515" s="2"/>
      <c r="W515" s="2"/>
      <c r="X515" s="2"/>
      <c r="Y515" s="3"/>
      <c r="Z515" s="3"/>
      <c r="AA515" s="2"/>
      <c r="AB515" s="2"/>
      <c r="AC515" s="2"/>
      <c r="AD515" s="2"/>
      <c r="AE515" s="2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4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</row>
    <row r="516" ht="15.75">
      <c r="A516" s="3"/>
      <c r="B516" s="2"/>
      <c r="C516" s="2"/>
      <c r="D516" s="2"/>
      <c r="E516" s="2"/>
      <c r="F516" s="2"/>
      <c r="G516" s="2"/>
      <c r="H516" s="2"/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2"/>
      <c r="T516" s="2"/>
      <c r="U516" s="2"/>
      <c r="V516" s="2"/>
      <c r="W516" s="2"/>
      <c r="X516" s="2"/>
      <c r="Y516" s="3"/>
      <c r="Z516" s="3"/>
      <c r="AA516" s="2"/>
      <c r="AB516" s="2"/>
      <c r="AC516" s="2"/>
      <c r="AD516" s="2"/>
      <c r="AE516" s="2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4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</row>
    <row r="517" ht="15.75">
      <c r="A517" s="3"/>
      <c r="B517" s="2"/>
      <c r="C517" s="2"/>
      <c r="D517" s="2"/>
      <c r="E517" s="2"/>
      <c r="F517" s="2"/>
      <c r="G517" s="2"/>
      <c r="H517" s="2"/>
      <c r="I517" s="2"/>
      <c r="J517" s="3"/>
      <c r="K517" s="3"/>
      <c r="L517" s="3"/>
      <c r="M517" s="3"/>
      <c r="N517" s="3"/>
      <c r="O517" s="3"/>
      <c r="P517" s="3"/>
      <c r="Q517" s="3"/>
      <c r="R517" s="3"/>
      <c r="S517" s="2"/>
      <c r="T517" s="2"/>
      <c r="U517" s="2"/>
      <c r="V517" s="2"/>
      <c r="W517" s="2"/>
      <c r="X517" s="2"/>
      <c r="Y517" s="3"/>
      <c r="Z517" s="3"/>
      <c r="AA517" s="2"/>
      <c r="AB517" s="2"/>
      <c r="AC517" s="2"/>
      <c r="AD517" s="2"/>
      <c r="AE517" s="2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4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</row>
    <row r="518" ht="15.75">
      <c r="A518" s="3"/>
      <c r="B518" s="2"/>
      <c r="C518" s="2"/>
      <c r="D518" s="2"/>
      <c r="E518" s="2"/>
      <c r="F518" s="2"/>
      <c r="G518" s="2"/>
      <c r="H518" s="2"/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2"/>
      <c r="T518" s="2"/>
      <c r="U518" s="2"/>
      <c r="V518" s="2"/>
      <c r="W518" s="2"/>
      <c r="X518" s="2"/>
      <c r="Y518" s="3"/>
      <c r="Z518" s="3"/>
      <c r="AA518" s="2"/>
      <c r="AB518" s="2"/>
      <c r="AC518" s="2"/>
      <c r="AD518" s="2"/>
      <c r="AE518" s="2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4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</row>
    <row r="519" ht="15.75">
      <c r="A519" s="3"/>
      <c r="B519" s="2"/>
      <c r="C519" s="2"/>
      <c r="D519" s="2"/>
      <c r="E519" s="2"/>
      <c r="F519" s="2"/>
      <c r="G519" s="2"/>
      <c r="H519" s="2"/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2"/>
      <c r="T519" s="2"/>
      <c r="U519" s="2"/>
      <c r="V519" s="2"/>
      <c r="W519" s="2"/>
      <c r="X519" s="2"/>
      <c r="Y519" s="3"/>
      <c r="Z519" s="3"/>
      <c r="AA519" s="2"/>
      <c r="AB519" s="2"/>
      <c r="AC519" s="2"/>
      <c r="AD519" s="2"/>
      <c r="AE519" s="2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4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</row>
    <row r="520" ht="15.75">
      <c r="A520" s="3"/>
      <c r="B520" s="2"/>
      <c r="C520" s="2"/>
      <c r="D520" s="2"/>
      <c r="E520" s="2"/>
      <c r="F520" s="2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2"/>
      <c r="T520" s="2"/>
      <c r="U520" s="2"/>
      <c r="V520" s="2"/>
      <c r="W520" s="2"/>
      <c r="X520" s="2"/>
      <c r="Y520" s="3"/>
      <c r="Z520" s="3"/>
      <c r="AA520" s="2"/>
      <c r="AB520" s="2"/>
      <c r="AC520" s="2"/>
      <c r="AD520" s="2"/>
      <c r="AE520" s="2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4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</row>
    <row r="521" ht="15.75">
      <c r="A521" s="3"/>
      <c r="B521" s="2"/>
      <c r="C521" s="2"/>
      <c r="D521" s="2"/>
      <c r="E521" s="2"/>
      <c r="F521" s="2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  <c r="S521" s="2"/>
      <c r="T521" s="2"/>
      <c r="U521" s="2"/>
      <c r="V521" s="2"/>
      <c r="W521" s="2"/>
      <c r="X521" s="2"/>
      <c r="Y521" s="3"/>
      <c r="Z521" s="3"/>
      <c r="AA521" s="2"/>
      <c r="AB521" s="2"/>
      <c r="AC521" s="2"/>
      <c r="AD521" s="2"/>
      <c r="AE521" s="2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4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</row>
    <row r="522" ht="15.75">
      <c r="A522" s="3"/>
      <c r="B522" s="2"/>
      <c r="C522" s="2"/>
      <c r="D522" s="2"/>
      <c r="E522" s="2"/>
      <c r="F522" s="2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  <c r="S522" s="2"/>
      <c r="T522" s="2"/>
      <c r="U522" s="2"/>
      <c r="V522" s="2"/>
      <c r="W522" s="2"/>
      <c r="X522" s="2"/>
      <c r="Y522" s="3"/>
      <c r="Z522" s="3"/>
      <c r="AA522" s="2"/>
      <c r="AB522" s="2"/>
      <c r="AC522" s="2"/>
      <c r="AD522" s="2"/>
      <c r="AE522" s="2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4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</row>
    <row r="523" ht="15.75">
      <c r="A523" s="3"/>
      <c r="B523" s="2"/>
      <c r="C523" s="2"/>
      <c r="D523" s="2"/>
      <c r="E523" s="2"/>
      <c r="F523" s="2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2"/>
      <c r="T523" s="2"/>
      <c r="U523" s="2"/>
      <c r="V523" s="2"/>
      <c r="W523" s="2"/>
      <c r="X523" s="2"/>
      <c r="Y523" s="3"/>
      <c r="Z523" s="3"/>
      <c r="AA523" s="2"/>
      <c r="AB523" s="2"/>
      <c r="AC523" s="2"/>
      <c r="AD523" s="2"/>
      <c r="AE523" s="2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4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</row>
    <row r="524" ht="15.75">
      <c r="A524" s="3"/>
      <c r="B524" s="2"/>
      <c r="C524" s="2"/>
      <c r="D524" s="2"/>
      <c r="E524" s="2"/>
      <c r="F524" s="2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2"/>
      <c r="T524" s="2"/>
      <c r="U524" s="2"/>
      <c r="V524" s="2"/>
      <c r="W524" s="2"/>
      <c r="X524" s="2"/>
      <c r="Y524" s="3"/>
      <c r="Z524" s="3"/>
      <c r="AA524" s="2"/>
      <c r="AB524" s="2"/>
      <c r="AC524" s="2"/>
      <c r="AD524" s="2"/>
      <c r="AE524" s="2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4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</row>
    <row r="525" ht="15.75">
      <c r="A525" s="3"/>
      <c r="B525" s="2"/>
      <c r="C525" s="2"/>
      <c r="D525" s="2"/>
      <c r="E525" s="2"/>
      <c r="F525" s="2"/>
      <c r="G525" s="2"/>
      <c r="H525" s="2"/>
      <c r="I525" s="2"/>
      <c r="J525" s="3"/>
      <c r="K525" s="3"/>
      <c r="L525" s="3"/>
      <c r="M525" s="3"/>
      <c r="N525" s="3"/>
      <c r="O525" s="3"/>
      <c r="P525" s="3"/>
      <c r="Q525" s="3"/>
      <c r="R525" s="3"/>
      <c r="S525" s="2"/>
      <c r="T525" s="2"/>
      <c r="U525" s="2"/>
      <c r="V525" s="2"/>
      <c r="W525" s="2"/>
      <c r="X525" s="2"/>
      <c r="Y525" s="3"/>
      <c r="Z525" s="3"/>
      <c r="AA525" s="2"/>
      <c r="AB525" s="2"/>
      <c r="AC525" s="2"/>
      <c r="AD525" s="2"/>
      <c r="AE525" s="2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4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</row>
    <row r="526" ht="15.75">
      <c r="A526" s="3"/>
      <c r="B526" s="2"/>
      <c r="C526" s="2"/>
      <c r="D526" s="2"/>
      <c r="E526" s="2"/>
      <c r="F526" s="2"/>
      <c r="G526" s="2"/>
      <c r="H526" s="2"/>
      <c r="I526" s="2"/>
      <c r="J526" s="3"/>
      <c r="K526" s="3"/>
      <c r="L526" s="3"/>
      <c r="M526" s="3"/>
      <c r="N526" s="3"/>
      <c r="O526" s="3"/>
      <c r="P526" s="3"/>
      <c r="Q526" s="3"/>
      <c r="R526" s="3"/>
      <c r="S526" s="2"/>
      <c r="T526" s="2"/>
      <c r="U526" s="2"/>
      <c r="V526" s="2"/>
      <c r="W526" s="2"/>
      <c r="X526" s="2"/>
      <c r="Y526" s="3"/>
      <c r="Z526" s="3"/>
      <c r="AA526" s="2"/>
      <c r="AB526" s="2"/>
      <c r="AC526" s="2"/>
      <c r="AD526" s="2"/>
      <c r="AE526" s="2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4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</row>
    <row r="527" ht="15.75">
      <c r="A527" s="3"/>
      <c r="B527" s="2"/>
      <c r="C527" s="2"/>
      <c r="D527" s="2"/>
      <c r="E527" s="2"/>
      <c r="F527" s="2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  <c r="S527" s="2"/>
      <c r="T527" s="2"/>
      <c r="U527" s="2"/>
      <c r="V527" s="2"/>
      <c r="W527" s="2"/>
      <c r="X527" s="2"/>
      <c r="Y527" s="3"/>
      <c r="Z527" s="3"/>
      <c r="AA527" s="2"/>
      <c r="AB527" s="2"/>
      <c r="AC527" s="2"/>
      <c r="AD527" s="2"/>
      <c r="AE527" s="2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4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</row>
    <row r="528" ht="15.75">
      <c r="A528" s="3"/>
      <c r="B528" s="2"/>
      <c r="C528" s="2"/>
      <c r="D528" s="2"/>
      <c r="E528" s="2"/>
      <c r="F528" s="2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  <c r="S528" s="2"/>
      <c r="T528" s="2"/>
      <c r="U528" s="2"/>
      <c r="V528" s="2"/>
      <c r="W528" s="2"/>
      <c r="X528" s="2"/>
      <c r="Y528" s="3"/>
      <c r="Z528" s="3"/>
      <c r="AA528" s="2"/>
      <c r="AB528" s="2"/>
      <c r="AC528" s="2"/>
      <c r="AD528" s="2"/>
      <c r="AE528" s="2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4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</row>
    <row r="529" ht="15.75">
      <c r="A529" s="3"/>
      <c r="B529" s="2"/>
      <c r="C529" s="2"/>
      <c r="D529" s="2"/>
      <c r="E529" s="2"/>
      <c r="F529" s="2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2"/>
      <c r="T529" s="2"/>
      <c r="U529" s="2"/>
      <c r="V529" s="2"/>
      <c r="W529" s="2"/>
      <c r="X529" s="2"/>
      <c r="Y529" s="3"/>
      <c r="Z529" s="3"/>
      <c r="AA529" s="2"/>
      <c r="AB529" s="2"/>
      <c r="AC529" s="2"/>
      <c r="AD529" s="2"/>
      <c r="AE529" s="2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4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</row>
    <row r="530" ht="15.75">
      <c r="A530" s="3"/>
      <c r="B530" s="2"/>
      <c r="C530" s="2"/>
      <c r="D530" s="2"/>
      <c r="E530" s="2"/>
      <c r="F530" s="2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2"/>
      <c r="T530" s="2"/>
      <c r="U530" s="2"/>
      <c r="V530" s="2"/>
      <c r="W530" s="2"/>
      <c r="X530" s="2"/>
      <c r="Y530" s="3"/>
      <c r="Z530" s="3"/>
      <c r="AA530" s="2"/>
      <c r="AB530" s="2"/>
      <c r="AC530" s="2"/>
      <c r="AD530" s="2"/>
      <c r="AE530" s="2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4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</row>
    <row r="531" ht="15.75">
      <c r="A531" s="3"/>
      <c r="B531" s="2"/>
      <c r="C531" s="2"/>
      <c r="D531" s="2"/>
      <c r="E531" s="2"/>
      <c r="F531" s="2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2"/>
      <c r="T531" s="2"/>
      <c r="U531" s="2"/>
      <c r="V531" s="2"/>
      <c r="W531" s="2"/>
      <c r="X531" s="2"/>
      <c r="Y531" s="3"/>
      <c r="Z531" s="3"/>
      <c r="AA531" s="2"/>
      <c r="AB531" s="2"/>
      <c r="AC531" s="2"/>
      <c r="AD531" s="2"/>
      <c r="AE531" s="2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4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</row>
    <row r="532" ht="15.75">
      <c r="A532" s="3"/>
      <c r="B532" s="2"/>
      <c r="C532" s="2"/>
      <c r="D532" s="2"/>
      <c r="E532" s="2"/>
      <c r="F532" s="2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  <c r="S532" s="2"/>
      <c r="T532" s="2"/>
      <c r="U532" s="2"/>
      <c r="V532" s="2"/>
      <c r="W532" s="2"/>
      <c r="X532" s="2"/>
      <c r="Y532" s="3"/>
      <c r="Z532" s="3"/>
      <c r="AA532" s="2"/>
      <c r="AB532" s="2"/>
      <c r="AC532" s="2"/>
      <c r="AD532" s="2"/>
      <c r="AE532" s="2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4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</row>
    <row r="533" ht="15.75">
      <c r="A533" s="3"/>
      <c r="B533" s="2"/>
      <c r="C533" s="2"/>
      <c r="D533" s="2"/>
      <c r="E533" s="2"/>
      <c r="F533" s="2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2"/>
      <c r="T533" s="2"/>
      <c r="U533" s="2"/>
      <c r="V533" s="2"/>
      <c r="W533" s="2"/>
      <c r="X533" s="2"/>
      <c r="Y533" s="3"/>
      <c r="Z533" s="3"/>
      <c r="AA533" s="2"/>
      <c r="AB533" s="2"/>
      <c r="AC533" s="2"/>
      <c r="AD533" s="2"/>
      <c r="AE533" s="2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4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</row>
    <row r="534" ht="15.75">
      <c r="A534" s="3"/>
      <c r="B534" s="2"/>
      <c r="C534" s="2"/>
      <c r="D534" s="2"/>
      <c r="E534" s="2"/>
      <c r="F534" s="2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  <c r="S534" s="2"/>
      <c r="T534" s="2"/>
      <c r="U534" s="2"/>
      <c r="V534" s="2"/>
      <c r="W534" s="2"/>
      <c r="X534" s="2"/>
      <c r="Y534" s="3"/>
      <c r="Z534" s="3"/>
      <c r="AA534" s="2"/>
      <c r="AB534" s="2"/>
      <c r="AC534" s="2"/>
      <c r="AD534" s="2"/>
      <c r="AE534" s="2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4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</row>
    <row r="535" ht="15.75">
      <c r="A535" s="3"/>
      <c r="B535" s="2"/>
      <c r="C535" s="2"/>
      <c r="D535" s="2"/>
      <c r="E535" s="2"/>
      <c r="F535" s="2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2"/>
      <c r="T535" s="2"/>
      <c r="U535" s="2"/>
      <c r="V535" s="2"/>
      <c r="W535" s="2"/>
      <c r="X535" s="2"/>
      <c r="Y535" s="3"/>
      <c r="Z535" s="3"/>
      <c r="AA535" s="2"/>
      <c r="AB535" s="2"/>
      <c r="AC535" s="2"/>
      <c r="AD535" s="2"/>
      <c r="AE535" s="2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4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</row>
    <row r="536" ht="15.75">
      <c r="A536" s="3"/>
      <c r="B536" s="2"/>
      <c r="C536" s="2"/>
      <c r="D536" s="2"/>
      <c r="E536" s="2"/>
      <c r="F536" s="2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  <c r="S536" s="2"/>
      <c r="T536" s="2"/>
      <c r="U536" s="2"/>
      <c r="V536" s="2"/>
      <c r="W536" s="2"/>
      <c r="X536" s="2"/>
      <c r="Y536" s="3"/>
      <c r="Z536" s="3"/>
      <c r="AA536" s="2"/>
      <c r="AB536" s="2"/>
      <c r="AC536" s="2"/>
      <c r="AD536" s="2"/>
      <c r="AE536" s="2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4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</row>
    <row r="537" ht="15.75">
      <c r="A537" s="3"/>
      <c r="B537" s="2"/>
      <c r="C537" s="2"/>
      <c r="D537" s="2"/>
      <c r="E537" s="2"/>
      <c r="F537" s="2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2"/>
      <c r="T537" s="2"/>
      <c r="U537" s="2"/>
      <c r="V537" s="2"/>
      <c r="W537" s="2"/>
      <c r="X537" s="2"/>
      <c r="Y537" s="3"/>
      <c r="Z537" s="3"/>
      <c r="AA537" s="2"/>
      <c r="AB537" s="2"/>
      <c r="AC537" s="2"/>
      <c r="AD537" s="2"/>
      <c r="AE537" s="2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4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</row>
    <row r="538" ht="15.75">
      <c r="A538" s="3"/>
      <c r="B538" s="2"/>
      <c r="C538" s="2"/>
      <c r="D538" s="2"/>
      <c r="E538" s="2"/>
      <c r="F538" s="2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2"/>
      <c r="T538" s="2"/>
      <c r="U538" s="2"/>
      <c r="V538" s="2"/>
      <c r="W538" s="2"/>
      <c r="X538" s="2"/>
      <c r="Y538" s="3"/>
      <c r="Z538" s="3"/>
      <c r="AA538" s="2"/>
      <c r="AB538" s="2"/>
      <c r="AC538" s="2"/>
      <c r="AD538" s="2"/>
      <c r="AE538" s="2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4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</row>
    <row r="539" ht="15.75">
      <c r="A539" s="3"/>
      <c r="B539" s="2"/>
      <c r="C539" s="2"/>
      <c r="D539" s="2"/>
      <c r="E539" s="2"/>
      <c r="F539" s="2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2"/>
      <c r="T539" s="2"/>
      <c r="U539" s="2"/>
      <c r="V539" s="2"/>
      <c r="W539" s="2"/>
      <c r="X539" s="2"/>
      <c r="Y539" s="3"/>
      <c r="Z539" s="3"/>
      <c r="AA539" s="2"/>
      <c r="AB539" s="2"/>
      <c r="AC539" s="2"/>
      <c r="AD539" s="2"/>
      <c r="AE539" s="2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4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</row>
    <row r="540" ht="15.75">
      <c r="A540" s="3"/>
      <c r="B540" s="2"/>
      <c r="C540" s="2"/>
      <c r="D540" s="2"/>
      <c r="E540" s="2"/>
      <c r="F540" s="2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2"/>
      <c r="T540" s="2"/>
      <c r="U540" s="2"/>
      <c r="V540" s="2"/>
      <c r="W540" s="2"/>
      <c r="X540" s="2"/>
      <c r="Y540" s="3"/>
      <c r="Z540" s="3"/>
      <c r="AA540" s="2"/>
      <c r="AB540" s="2"/>
      <c r="AC540" s="2"/>
      <c r="AD540" s="2"/>
      <c r="AE540" s="2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4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</row>
    <row r="541" ht="15.75">
      <c r="A541" s="3"/>
      <c r="B541" s="2"/>
      <c r="C541" s="2"/>
      <c r="D541" s="2"/>
      <c r="E541" s="2"/>
      <c r="F541" s="2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  <c r="S541" s="2"/>
      <c r="T541" s="2"/>
      <c r="U541" s="2"/>
      <c r="V541" s="2"/>
      <c r="W541" s="2"/>
      <c r="X541" s="2"/>
      <c r="Y541" s="3"/>
      <c r="Z541" s="3"/>
      <c r="AA541" s="2"/>
      <c r="AB541" s="2"/>
      <c r="AC541" s="2"/>
      <c r="AD541" s="2"/>
      <c r="AE541" s="2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4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</row>
    <row r="542" ht="15.75">
      <c r="A542" s="3"/>
      <c r="B542" s="2"/>
      <c r="C542" s="2"/>
      <c r="D542" s="2"/>
      <c r="E542" s="2"/>
      <c r="F542" s="2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2"/>
      <c r="T542" s="2"/>
      <c r="U542" s="2"/>
      <c r="V542" s="2"/>
      <c r="W542" s="2"/>
      <c r="X542" s="2"/>
      <c r="Y542" s="3"/>
      <c r="Z542" s="3"/>
      <c r="AA542" s="2"/>
      <c r="AB542" s="2"/>
      <c r="AC542" s="2"/>
      <c r="AD542" s="2"/>
      <c r="AE542" s="2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4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</row>
    <row r="543" ht="15.75">
      <c r="A543" s="3"/>
      <c r="B543" s="2"/>
      <c r="C543" s="2"/>
      <c r="D543" s="2"/>
      <c r="E543" s="2"/>
      <c r="F543" s="2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2"/>
      <c r="T543" s="2"/>
      <c r="U543" s="2"/>
      <c r="V543" s="2"/>
      <c r="W543" s="2"/>
      <c r="X543" s="2"/>
      <c r="Y543" s="3"/>
      <c r="Z543" s="3"/>
      <c r="AA543" s="2"/>
      <c r="AB543" s="2"/>
      <c r="AC543" s="2"/>
      <c r="AD543" s="2"/>
      <c r="AE543" s="2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4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</row>
    <row r="544" ht="15.75">
      <c r="A544" s="3"/>
      <c r="B544" s="2"/>
      <c r="C544" s="2"/>
      <c r="D544" s="2"/>
      <c r="E544" s="2"/>
      <c r="F544" s="2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  <c r="S544" s="2"/>
      <c r="T544" s="2"/>
      <c r="U544" s="2"/>
      <c r="V544" s="2"/>
      <c r="W544" s="2"/>
      <c r="X544" s="2"/>
      <c r="Y544" s="3"/>
      <c r="Z544" s="3"/>
      <c r="AA544" s="2"/>
      <c r="AB544" s="2"/>
      <c r="AC544" s="2"/>
      <c r="AD544" s="2"/>
      <c r="AE544" s="2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4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</row>
    <row r="545" ht="15.75">
      <c r="A545" s="3"/>
      <c r="B545" s="2"/>
      <c r="C545" s="2"/>
      <c r="D545" s="2"/>
      <c r="E545" s="2"/>
      <c r="F545" s="2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2"/>
      <c r="T545" s="2"/>
      <c r="U545" s="2"/>
      <c r="V545" s="2"/>
      <c r="W545" s="2"/>
      <c r="X545" s="2"/>
      <c r="Y545" s="3"/>
      <c r="Z545" s="3"/>
      <c r="AA545" s="2"/>
      <c r="AB545" s="2"/>
      <c r="AC545" s="2"/>
      <c r="AD545" s="2"/>
      <c r="AE545" s="2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4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</row>
    <row r="546" ht="15.75">
      <c r="A546" s="3"/>
      <c r="B546" s="2"/>
      <c r="C546" s="2"/>
      <c r="D546" s="2"/>
      <c r="E546" s="2"/>
      <c r="F546" s="2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2"/>
      <c r="T546" s="2"/>
      <c r="U546" s="2"/>
      <c r="V546" s="2"/>
      <c r="W546" s="2"/>
      <c r="X546" s="2"/>
      <c r="Y546" s="3"/>
      <c r="Z546" s="3"/>
      <c r="AA546" s="2"/>
      <c r="AB546" s="2"/>
      <c r="AC546" s="2"/>
      <c r="AD546" s="2"/>
      <c r="AE546" s="2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4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</row>
    <row r="547" ht="15.75">
      <c r="A547" s="3"/>
      <c r="B547" s="2"/>
      <c r="C547" s="2"/>
      <c r="D547" s="2"/>
      <c r="E547" s="2"/>
      <c r="F547" s="2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2"/>
      <c r="T547" s="2"/>
      <c r="U547" s="2"/>
      <c r="V547" s="2"/>
      <c r="W547" s="2"/>
      <c r="X547" s="2"/>
      <c r="Y547" s="3"/>
      <c r="Z547" s="3"/>
      <c r="AA547" s="2"/>
      <c r="AB547" s="2"/>
      <c r="AC547" s="2"/>
      <c r="AD547" s="2"/>
      <c r="AE547" s="2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4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</row>
    <row r="548" ht="15.75">
      <c r="A548" s="3"/>
      <c r="B548" s="2"/>
      <c r="C548" s="2"/>
      <c r="D548" s="2"/>
      <c r="E548" s="2"/>
      <c r="F548" s="2"/>
      <c r="G548" s="2"/>
      <c r="H548" s="2"/>
      <c r="I548" s="2"/>
      <c r="J548" s="3"/>
      <c r="K548" s="3"/>
      <c r="L548" s="3"/>
      <c r="M548" s="3"/>
      <c r="N548" s="3"/>
      <c r="O548" s="3"/>
      <c r="P548" s="3"/>
      <c r="Q548" s="3"/>
      <c r="R548" s="3"/>
      <c r="S548" s="2"/>
      <c r="T548" s="2"/>
      <c r="U548" s="2"/>
      <c r="V548" s="2"/>
      <c r="W548" s="2"/>
      <c r="X548" s="2"/>
      <c r="Y548" s="3"/>
      <c r="Z548" s="3"/>
      <c r="AA548" s="2"/>
      <c r="AB548" s="2"/>
      <c r="AC548" s="2"/>
      <c r="AD548" s="2"/>
      <c r="AE548" s="2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4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</row>
    <row r="549" ht="15.75">
      <c r="A549" s="3"/>
      <c r="B549" s="2"/>
      <c r="C549" s="2"/>
      <c r="D549" s="2"/>
      <c r="E549" s="2"/>
      <c r="F549" s="2"/>
      <c r="G549" s="2"/>
      <c r="H549" s="2"/>
      <c r="I549" s="2"/>
      <c r="J549" s="3"/>
      <c r="K549" s="3"/>
      <c r="L549" s="3"/>
      <c r="M549" s="3"/>
      <c r="N549" s="3"/>
      <c r="O549" s="3"/>
      <c r="P549" s="3"/>
      <c r="Q549" s="3"/>
      <c r="R549" s="3"/>
      <c r="S549" s="2"/>
      <c r="T549" s="2"/>
      <c r="U549" s="2"/>
      <c r="V549" s="2"/>
      <c r="W549" s="2"/>
      <c r="X549" s="2"/>
      <c r="Y549" s="3"/>
      <c r="Z549" s="3"/>
      <c r="AA549" s="2"/>
      <c r="AB549" s="2"/>
      <c r="AC549" s="2"/>
      <c r="AD549" s="2"/>
      <c r="AE549" s="2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4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</row>
    <row r="550" ht="15.75">
      <c r="A550" s="3"/>
      <c r="B550" s="2"/>
      <c r="C550" s="2"/>
      <c r="D550" s="2"/>
      <c r="E550" s="2"/>
      <c r="F550" s="2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2"/>
      <c r="T550" s="2"/>
      <c r="U550" s="2"/>
      <c r="V550" s="2"/>
      <c r="W550" s="2"/>
      <c r="X550" s="2"/>
      <c r="Y550" s="3"/>
      <c r="Z550" s="3"/>
      <c r="AA550" s="2"/>
      <c r="AB550" s="2"/>
      <c r="AC550" s="2"/>
      <c r="AD550" s="2"/>
      <c r="AE550" s="2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4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</row>
    <row r="551" ht="15.75">
      <c r="A551" s="3"/>
      <c r="B551" s="2"/>
      <c r="C551" s="2"/>
      <c r="D551" s="2"/>
      <c r="E551" s="2"/>
      <c r="F551" s="2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2"/>
      <c r="T551" s="2"/>
      <c r="U551" s="2"/>
      <c r="V551" s="2"/>
      <c r="W551" s="2"/>
      <c r="X551" s="2"/>
      <c r="Y551" s="3"/>
      <c r="Z551" s="3"/>
      <c r="AA551" s="2"/>
      <c r="AB551" s="2"/>
      <c r="AC551" s="2"/>
      <c r="AD551" s="2"/>
      <c r="AE551" s="2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4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</row>
    <row r="552" ht="15.75">
      <c r="A552" s="3"/>
      <c r="B552" s="2"/>
      <c r="C552" s="2"/>
      <c r="D552" s="2"/>
      <c r="E552" s="2"/>
      <c r="F552" s="2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2"/>
      <c r="T552" s="2"/>
      <c r="U552" s="2"/>
      <c r="V552" s="2"/>
      <c r="W552" s="2"/>
      <c r="X552" s="2"/>
      <c r="Y552" s="3"/>
      <c r="Z552" s="3"/>
      <c r="AA552" s="2"/>
      <c r="AB552" s="2"/>
      <c r="AC552" s="2"/>
      <c r="AD552" s="2"/>
      <c r="AE552" s="2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4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</row>
    <row r="553" ht="15.75">
      <c r="A553" s="3"/>
      <c r="B553" s="2"/>
      <c r="C553" s="2"/>
      <c r="D553" s="2"/>
      <c r="E553" s="2"/>
      <c r="F553" s="2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  <c r="S553" s="2"/>
      <c r="T553" s="2"/>
      <c r="U553" s="2"/>
      <c r="V553" s="2"/>
      <c r="W553" s="2"/>
      <c r="X553" s="2"/>
      <c r="Y553" s="3"/>
      <c r="Z553" s="3"/>
      <c r="AA553" s="2"/>
      <c r="AB553" s="2"/>
      <c r="AC553" s="2"/>
      <c r="AD553" s="2"/>
      <c r="AE553" s="2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4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</row>
    <row r="554" ht="15.75">
      <c r="A554" s="3"/>
      <c r="B554" s="2"/>
      <c r="C554" s="2"/>
      <c r="D554" s="2"/>
      <c r="E554" s="2"/>
      <c r="F554" s="2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2"/>
      <c r="T554" s="2"/>
      <c r="U554" s="2"/>
      <c r="V554" s="2"/>
      <c r="W554" s="2"/>
      <c r="X554" s="2"/>
      <c r="Y554" s="3"/>
      <c r="Z554" s="3"/>
      <c r="AA554" s="2"/>
      <c r="AB554" s="2"/>
      <c r="AC554" s="2"/>
      <c r="AD554" s="2"/>
      <c r="AE554" s="2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4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</row>
    <row r="555" ht="15.75">
      <c r="A555" s="3"/>
      <c r="B555" s="2"/>
      <c r="C555" s="2"/>
      <c r="D555" s="2"/>
      <c r="E555" s="2"/>
      <c r="F555" s="2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2"/>
      <c r="T555" s="2"/>
      <c r="U555" s="2"/>
      <c r="V555" s="2"/>
      <c r="W555" s="2"/>
      <c r="X555" s="2"/>
      <c r="Y555" s="3"/>
      <c r="Z555" s="3"/>
      <c r="AA555" s="2"/>
      <c r="AB555" s="2"/>
      <c r="AC555" s="2"/>
      <c r="AD555" s="2"/>
      <c r="AE555" s="2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4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</row>
    <row r="556" ht="15.75">
      <c r="A556" s="3"/>
      <c r="B556" s="2"/>
      <c r="C556" s="2"/>
      <c r="D556" s="2"/>
      <c r="E556" s="2"/>
      <c r="F556" s="2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2"/>
      <c r="T556" s="2"/>
      <c r="U556" s="2"/>
      <c r="V556" s="2"/>
      <c r="W556" s="2"/>
      <c r="X556" s="2"/>
      <c r="Y556" s="3"/>
      <c r="Z556" s="3"/>
      <c r="AA556" s="2"/>
      <c r="AB556" s="2"/>
      <c r="AC556" s="2"/>
      <c r="AD556" s="2"/>
      <c r="AE556" s="2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4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</row>
    <row r="557" ht="15.75">
      <c r="A557" s="3"/>
      <c r="B557" s="2"/>
      <c r="C557" s="2"/>
      <c r="D557" s="2"/>
      <c r="E557" s="2"/>
      <c r="F557" s="2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2"/>
      <c r="T557" s="2"/>
      <c r="U557" s="2"/>
      <c r="V557" s="2"/>
      <c r="W557" s="2"/>
      <c r="X557" s="2"/>
      <c r="Y557" s="3"/>
      <c r="Z557" s="3"/>
      <c r="AA557" s="2"/>
      <c r="AB557" s="2"/>
      <c r="AC557" s="2"/>
      <c r="AD557" s="2"/>
      <c r="AE557" s="2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4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</row>
    <row r="558" ht="15.75">
      <c r="A558" s="3"/>
      <c r="B558" s="2"/>
      <c r="C558" s="2"/>
      <c r="D558" s="2"/>
      <c r="E558" s="2"/>
      <c r="F558" s="2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2"/>
      <c r="T558" s="2"/>
      <c r="U558" s="2"/>
      <c r="V558" s="2"/>
      <c r="W558" s="2"/>
      <c r="X558" s="2"/>
      <c r="Y558" s="3"/>
      <c r="Z558" s="3"/>
      <c r="AA558" s="2"/>
      <c r="AB558" s="2"/>
      <c r="AC558" s="2"/>
      <c r="AD558" s="2"/>
      <c r="AE558" s="2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4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</row>
    <row r="559" ht="15.75">
      <c r="A559" s="3"/>
      <c r="B559" s="2"/>
      <c r="C559" s="2"/>
      <c r="D559" s="2"/>
      <c r="E559" s="2"/>
      <c r="F559" s="2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2"/>
      <c r="T559" s="2"/>
      <c r="U559" s="2"/>
      <c r="V559" s="2"/>
      <c r="W559" s="2"/>
      <c r="X559" s="2"/>
      <c r="Y559" s="3"/>
      <c r="Z559" s="3"/>
      <c r="AA559" s="2"/>
      <c r="AB559" s="2"/>
      <c r="AC559" s="2"/>
      <c r="AD559" s="2"/>
      <c r="AE559" s="2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4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</row>
    <row r="560" ht="15.75">
      <c r="A560" s="3"/>
      <c r="B560" s="2"/>
      <c r="C560" s="2"/>
      <c r="D560" s="2"/>
      <c r="E560" s="2"/>
      <c r="F560" s="2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2"/>
      <c r="T560" s="2"/>
      <c r="U560" s="2"/>
      <c r="V560" s="2"/>
      <c r="W560" s="2"/>
      <c r="X560" s="2"/>
      <c r="Y560" s="3"/>
      <c r="Z560" s="3"/>
      <c r="AA560" s="2"/>
      <c r="AB560" s="2"/>
      <c r="AC560" s="2"/>
      <c r="AD560" s="2"/>
      <c r="AE560" s="2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4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</row>
    <row r="561" ht="15.75">
      <c r="A561" s="3"/>
      <c r="B561" s="2"/>
      <c r="C561" s="2"/>
      <c r="D561" s="2"/>
      <c r="E561" s="2"/>
      <c r="F561" s="2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2"/>
      <c r="T561" s="2"/>
      <c r="U561" s="2"/>
      <c r="V561" s="2"/>
      <c r="W561" s="2"/>
      <c r="X561" s="2"/>
      <c r="Y561" s="3"/>
      <c r="Z561" s="3"/>
      <c r="AA561" s="2"/>
      <c r="AB561" s="2"/>
      <c r="AC561" s="2"/>
      <c r="AD561" s="2"/>
      <c r="AE561" s="2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4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</row>
    <row r="562" ht="15.75">
      <c r="A562" s="3"/>
      <c r="B562" s="2"/>
      <c r="C562" s="2"/>
      <c r="D562" s="2"/>
      <c r="E562" s="2"/>
      <c r="F562" s="2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2"/>
      <c r="T562" s="2"/>
      <c r="U562" s="2"/>
      <c r="V562" s="2"/>
      <c r="W562" s="2"/>
      <c r="X562" s="2"/>
      <c r="Y562" s="3"/>
      <c r="Z562" s="3"/>
      <c r="AA562" s="2"/>
      <c r="AB562" s="2"/>
      <c r="AC562" s="2"/>
      <c r="AD562" s="2"/>
      <c r="AE562" s="2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4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</row>
    <row r="563" ht="15.75">
      <c r="A563" s="3"/>
      <c r="B563" s="2"/>
      <c r="C563" s="2"/>
      <c r="D563" s="2"/>
      <c r="E563" s="2"/>
      <c r="F563" s="2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2"/>
      <c r="T563" s="2"/>
      <c r="U563" s="2"/>
      <c r="V563" s="2"/>
      <c r="W563" s="2"/>
      <c r="X563" s="2"/>
      <c r="Y563" s="3"/>
      <c r="Z563" s="3"/>
      <c r="AA563" s="2"/>
      <c r="AB563" s="2"/>
      <c r="AC563" s="2"/>
      <c r="AD563" s="2"/>
      <c r="AE563" s="2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4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</row>
    <row r="564" ht="15.75">
      <c r="A564" s="3"/>
      <c r="B564" s="2"/>
      <c r="C564" s="2"/>
      <c r="D564" s="2"/>
      <c r="E564" s="2"/>
      <c r="F564" s="2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2"/>
      <c r="T564" s="2"/>
      <c r="U564" s="2"/>
      <c r="V564" s="2"/>
      <c r="W564" s="2"/>
      <c r="X564" s="2"/>
      <c r="Y564" s="3"/>
      <c r="Z564" s="3"/>
      <c r="AA564" s="2"/>
      <c r="AB564" s="2"/>
      <c r="AC564" s="2"/>
      <c r="AD564" s="2"/>
      <c r="AE564" s="2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4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</row>
    <row r="565" ht="15.75">
      <c r="A565" s="3"/>
      <c r="B565" s="2"/>
      <c r="C565" s="2"/>
      <c r="D565" s="2"/>
      <c r="E565" s="2"/>
      <c r="F565" s="2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2"/>
      <c r="T565" s="2"/>
      <c r="U565" s="2"/>
      <c r="V565" s="2"/>
      <c r="W565" s="2"/>
      <c r="X565" s="2"/>
      <c r="Y565" s="3"/>
      <c r="Z565" s="3"/>
      <c r="AA565" s="2"/>
      <c r="AB565" s="2"/>
      <c r="AC565" s="2"/>
      <c r="AD565" s="2"/>
      <c r="AE565" s="2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4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</row>
    <row r="566" ht="15.75">
      <c r="A566" s="3"/>
      <c r="B566" s="2"/>
      <c r="C566" s="2"/>
      <c r="D566" s="2"/>
      <c r="E566" s="2"/>
      <c r="F566" s="2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2"/>
      <c r="T566" s="2"/>
      <c r="U566" s="2"/>
      <c r="V566" s="2"/>
      <c r="W566" s="2"/>
      <c r="X566" s="2"/>
      <c r="Y566" s="3"/>
      <c r="Z566" s="3"/>
      <c r="AA566" s="2"/>
      <c r="AB566" s="2"/>
      <c r="AC566" s="2"/>
      <c r="AD566" s="2"/>
      <c r="AE566" s="2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4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</row>
    <row r="567" ht="15.75">
      <c r="A567" s="3"/>
      <c r="B567" s="2"/>
      <c r="C567" s="2"/>
      <c r="D567" s="2"/>
      <c r="E567" s="2"/>
      <c r="F567" s="2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2"/>
      <c r="T567" s="2"/>
      <c r="U567" s="2"/>
      <c r="V567" s="2"/>
      <c r="W567" s="2"/>
      <c r="X567" s="2"/>
      <c r="Y567" s="3"/>
      <c r="Z567" s="3"/>
      <c r="AA567" s="2"/>
      <c r="AB567" s="2"/>
      <c r="AC567" s="2"/>
      <c r="AD567" s="2"/>
      <c r="AE567" s="2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4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</row>
    <row r="568" ht="15.75">
      <c r="A568" s="3"/>
      <c r="B568" s="2"/>
      <c r="C568" s="2"/>
      <c r="D568" s="2"/>
      <c r="E568" s="2"/>
      <c r="F568" s="2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2"/>
      <c r="T568" s="2"/>
      <c r="U568" s="2"/>
      <c r="V568" s="2"/>
      <c r="W568" s="2"/>
      <c r="X568" s="2"/>
      <c r="Y568" s="3"/>
      <c r="Z568" s="3"/>
      <c r="AA568" s="2"/>
      <c r="AB568" s="2"/>
      <c r="AC568" s="2"/>
      <c r="AD568" s="2"/>
      <c r="AE568" s="2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4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</row>
    <row r="569" ht="15.75">
      <c r="A569" s="3"/>
      <c r="B569" s="2"/>
      <c r="C569" s="2"/>
      <c r="D569" s="2"/>
      <c r="E569" s="2"/>
      <c r="F569" s="2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2"/>
      <c r="T569" s="2"/>
      <c r="U569" s="2"/>
      <c r="V569" s="2"/>
      <c r="W569" s="2"/>
      <c r="X569" s="2"/>
      <c r="Y569" s="3"/>
      <c r="Z569" s="3"/>
      <c r="AA569" s="2"/>
      <c r="AB569" s="2"/>
      <c r="AC569" s="2"/>
      <c r="AD569" s="2"/>
      <c r="AE569" s="2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4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</row>
    <row r="570" ht="15.75">
      <c r="A570" s="3"/>
      <c r="B570" s="2"/>
      <c r="C570" s="2"/>
      <c r="D570" s="2"/>
      <c r="E570" s="2"/>
      <c r="F570" s="2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2"/>
      <c r="T570" s="2"/>
      <c r="U570" s="2"/>
      <c r="V570" s="2"/>
      <c r="W570" s="2"/>
      <c r="X570" s="2"/>
      <c r="Y570" s="3"/>
      <c r="Z570" s="3"/>
      <c r="AA570" s="2"/>
      <c r="AB570" s="2"/>
      <c r="AC570" s="2"/>
      <c r="AD570" s="2"/>
      <c r="AE570" s="2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4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</row>
    <row r="571" ht="15.75">
      <c r="A571" s="3"/>
      <c r="B571" s="2"/>
      <c r="C571" s="2"/>
      <c r="D571" s="2"/>
      <c r="E571" s="2"/>
      <c r="F571" s="2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2"/>
      <c r="T571" s="2"/>
      <c r="U571" s="2"/>
      <c r="V571" s="2"/>
      <c r="W571" s="2"/>
      <c r="X571" s="2"/>
      <c r="Y571" s="3"/>
      <c r="Z571" s="3"/>
      <c r="AA571" s="2"/>
      <c r="AB571" s="2"/>
      <c r="AC571" s="2"/>
      <c r="AD571" s="2"/>
      <c r="AE571" s="2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4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</row>
    <row r="572" ht="15.75">
      <c r="A572" s="3"/>
      <c r="B572" s="2"/>
      <c r="C572" s="2"/>
      <c r="D572" s="2"/>
      <c r="E572" s="2"/>
      <c r="F572" s="2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2"/>
      <c r="T572" s="2"/>
      <c r="U572" s="2"/>
      <c r="V572" s="2"/>
      <c r="W572" s="2"/>
      <c r="X572" s="2"/>
      <c r="Y572" s="3"/>
      <c r="Z572" s="3"/>
      <c r="AA572" s="2"/>
      <c r="AB572" s="2"/>
      <c r="AC572" s="2"/>
      <c r="AD572" s="2"/>
      <c r="AE572" s="2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4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</row>
    <row r="573" ht="15.75">
      <c r="A573" s="3"/>
      <c r="B573" s="2"/>
      <c r="C573" s="2"/>
      <c r="D573" s="2"/>
      <c r="E573" s="2"/>
      <c r="F573" s="2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2"/>
      <c r="T573" s="2"/>
      <c r="U573" s="2"/>
      <c r="V573" s="2"/>
      <c r="W573" s="2"/>
      <c r="X573" s="2"/>
      <c r="Y573" s="3"/>
      <c r="Z573" s="3"/>
      <c r="AA573" s="2"/>
      <c r="AB573" s="2"/>
      <c r="AC573" s="2"/>
      <c r="AD573" s="2"/>
      <c r="AE573" s="2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4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</row>
    <row r="574" ht="15.75">
      <c r="A574" s="3"/>
      <c r="B574" s="2"/>
      <c r="C574" s="2"/>
      <c r="D574" s="2"/>
      <c r="E574" s="2"/>
      <c r="F574" s="2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2"/>
      <c r="T574" s="2"/>
      <c r="U574" s="2"/>
      <c r="V574" s="2"/>
      <c r="W574" s="2"/>
      <c r="X574" s="2"/>
      <c r="Y574" s="3"/>
      <c r="Z574" s="3"/>
      <c r="AA574" s="2"/>
      <c r="AB574" s="2"/>
      <c r="AC574" s="2"/>
      <c r="AD574" s="2"/>
      <c r="AE574" s="2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4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</row>
    <row r="575" ht="15.75">
      <c r="A575" s="3"/>
      <c r="B575" s="2"/>
      <c r="C575" s="2"/>
      <c r="D575" s="2"/>
      <c r="E575" s="2"/>
      <c r="F575" s="2"/>
      <c r="G575" s="2"/>
      <c r="H575" s="2"/>
      <c r="I575" s="2"/>
      <c r="J575" s="3"/>
      <c r="K575" s="3"/>
      <c r="L575" s="3"/>
      <c r="M575" s="3"/>
      <c r="N575" s="3"/>
      <c r="O575" s="3"/>
      <c r="P575" s="3"/>
      <c r="Q575" s="3"/>
      <c r="R575" s="3"/>
      <c r="S575" s="2"/>
      <c r="T575" s="2"/>
      <c r="U575" s="2"/>
      <c r="V575" s="2"/>
      <c r="W575" s="2"/>
      <c r="X575" s="2"/>
      <c r="Y575" s="3"/>
      <c r="Z575" s="3"/>
      <c r="AA575" s="2"/>
      <c r="AB575" s="2"/>
      <c r="AC575" s="2"/>
      <c r="AD575" s="2"/>
      <c r="AE575" s="2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4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</row>
    <row r="576" ht="15.75">
      <c r="A576" s="3"/>
      <c r="B576" s="2"/>
      <c r="C576" s="2"/>
      <c r="D576" s="2"/>
      <c r="E576" s="2"/>
      <c r="F576" s="2"/>
      <c r="G576" s="2"/>
      <c r="H576" s="2"/>
      <c r="I576" s="2"/>
      <c r="J576" s="3"/>
      <c r="K576" s="3"/>
      <c r="L576" s="3"/>
      <c r="M576" s="3"/>
      <c r="N576" s="3"/>
      <c r="O576" s="3"/>
      <c r="P576" s="3"/>
      <c r="Q576" s="3"/>
      <c r="R576" s="3"/>
      <c r="S576" s="2"/>
      <c r="T576" s="2"/>
      <c r="U576" s="2"/>
      <c r="V576" s="2"/>
      <c r="W576" s="2"/>
      <c r="X576" s="2"/>
      <c r="Y576" s="3"/>
      <c r="Z576" s="3"/>
      <c r="AA576" s="2"/>
      <c r="AB576" s="2"/>
      <c r="AC576" s="2"/>
      <c r="AD576" s="2"/>
      <c r="AE576" s="2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4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</row>
    <row r="577" ht="15.75">
      <c r="A577" s="3"/>
      <c r="B577" s="2"/>
      <c r="C577" s="2"/>
      <c r="D577" s="2"/>
      <c r="E577" s="2"/>
      <c r="F577" s="2"/>
      <c r="G577" s="2"/>
      <c r="H577" s="2"/>
      <c r="I577" s="2"/>
      <c r="J577" s="3"/>
      <c r="K577" s="3"/>
      <c r="L577" s="3"/>
      <c r="M577" s="3"/>
      <c r="N577" s="3"/>
      <c r="O577" s="3"/>
      <c r="P577" s="3"/>
      <c r="Q577" s="3"/>
      <c r="R577" s="3"/>
      <c r="S577" s="2"/>
      <c r="T577" s="2"/>
      <c r="U577" s="2"/>
      <c r="V577" s="2"/>
      <c r="W577" s="2"/>
      <c r="X577" s="2"/>
      <c r="Y577" s="3"/>
      <c r="Z577" s="3"/>
      <c r="AA577" s="2"/>
      <c r="AB577" s="2"/>
      <c r="AC577" s="2"/>
      <c r="AD577" s="2"/>
      <c r="AE577" s="2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4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</row>
    <row r="578" ht="15.75">
      <c r="A578" s="3"/>
      <c r="B578" s="2"/>
      <c r="C578" s="2"/>
      <c r="D578" s="2"/>
      <c r="E578" s="2"/>
      <c r="F578" s="2"/>
      <c r="G578" s="2"/>
      <c r="H578" s="2"/>
      <c r="I578" s="2"/>
      <c r="J578" s="3"/>
      <c r="K578" s="3"/>
      <c r="L578" s="3"/>
      <c r="M578" s="3"/>
      <c r="N578" s="3"/>
      <c r="O578" s="3"/>
      <c r="P578" s="3"/>
      <c r="Q578" s="3"/>
      <c r="R578" s="3"/>
      <c r="S578" s="2"/>
      <c r="T578" s="2"/>
      <c r="U578" s="2"/>
      <c r="V578" s="2"/>
      <c r="W578" s="2"/>
      <c r="X578" s="2"/>
      <c r="Y578" s="3"/>
      <c r="Z578" s="3"/>
      <c r="AA578" s="2"/>
      <c r="AB578" s="2"/>
      <c r="AC578" s="2"/>
      <c r="AD578" s="2"/>
      <c r="AE578" s="2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4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</row>
    <row r="579" ht="15.75">
      <c r="A579" s="3"/>
      <c r="B579" s="2"/>
      <c r="C579" s="2"/>
      <c r="D579" s="2"/>
      <c r="E579" s="2"/>
      <c r="F579" s="2"/>
      <c r="G579" s="2"/>
      <c r="H579" s="2"/>
      <c r="I579" s="2"/>
      <c r="J579" s="3"/>
      <c r="K579" s="3"/>
      <c r="L579" s="3"/>
      <c r="M579" s="3"/>
      <c r="N579" s="3"/>
      <c r="O579" s="3"/>
      <c r="P579" s="3"/>
      <c r="Q579" s="3"/>
      <c r="R579" s="3"/>
      <c r="S579" s="2"/>
      <c r="T579" s="2"/>
      <c r="U579" s="2"/>
      <c r="V579" s="2"/>
      <c r="W579" s="2"/>
      <c r="X579" s="2"/>
      <c r="Y579" s="3"/>
      <c r="Z579" s="3"/>
      <c r="AA579" s="2"/>
      <c r="AB579" s="2"/>
      <c r="AC579" s="2"/>
      <c r="AD579" s="2"/>
      <c r="AE579" s="2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4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</row>
    <row r="580" ht="15.75">
      <c r="A580" s="3"/>
      <c r="B580" s="2"/>
      <c r="C580" s="2"/>
      <c r="D580" s="2"/>
      <c r="E580" s="2"/>
      <c r="F580" s="2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2"/>
      <c r="T580" s="2"/>
      <c r="U580" s="2"/>
      <c r="V580" s="2"/>
      <c r="W580" s="2"/>
      <c r="X580" s="2"/>
      <c r="Y580" s="3"/>
      <c r="Z580" s="3"/>
      <c r="AA580" s="2"/>
      <c r="AB580" s="2"/>
      <c r="AC580" s="2"/>
      <c r="AD580" s="2"/>
      <c r="AE580" s="2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4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</row>
    <row r="581" ht="15.75">
      <c r="A581" s="3"/>
      <c r="B581" s="2"/>
      <c r="C581" s="2"/>
      <c r="D581" s="2"/>
      <c r="E581" s="2"/>
      <c r="F581" s="2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  <c r="S581" s="2"/>
      <c r="T581" s="2"/>
      <c r="U581" s="2"/>
      <c r="V581" s="2"/>
      <c r="W581" s="2"/>
      <c r="X581" s="2"/>
      <c r="Y581" s="3"/>
      <c r="Z581" s="3"/>
      <c r="AA581" s="2"/>
      <c r="AB581" s="2"/>
      <c r="AC581" s="2"/>
      <c r="AD581" s="2"/>
      <c r="AE581" s="2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4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</row>
    <row r="582" ht="15.75">
      <c r="A582" s="3"/>
      <c r="B582" s="2"/>
      <c r="C582" s="2"/>
      <c r="D582" s="2"/>
      <c r="E582" s="2"/>
      <c r="F582" s="2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2"/>
      <c r="T582" s="2"/>
      <c r="U582" s="2"/>
      <c r="V582" s="2"/>
      <c r="W582" s="2"/>
      <c r="X582" s="2"/>
      <c r="Y582" s="3"/>
      <c r="Z582" s="3"/>
      <c r="AA582" s="2"/>
      <c r="AB582" s="2"/>
      <c r="AC582" s="2"/>
      <c r="AD582" s="2"/>
      <c r="AE582" s="2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4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</row>
    <row r="583" ht="15.75">
      <c r="A583" s="3"/>
      <c r="B583" s="2"/>
      <c r="C583" s="2"/>
      <c r="D583" s="2"/>
      <c r="E583" s="2"/>
      <c r="F583" s="2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  <c r="S583" s="2"/>
      <c r="T583" s="2"/>
      <c r="U583" s="2"/>
      <c r="V583" s="2"/>
      <c r="W583" s="2"/>
      <c r="X583" s="2"/>
      <c r="Y583" s="3"/>
      <c r="Z583" s="3"/>
      <c r="AA583" s="2"/>
      <c r="AB583" s="2"/>
      <c r="AC583" s="2"/>
      <c r="AD583" s="2"/>
      <c r="AE583" s="2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4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</row>
    <row r="584" ht="15.75">
      <c r="A584" s="3"/>
      <c r="B584" s="2"/>
      <c r="C584" s="2"/>
      <c r="D584" s="2"/>
      <c r="E584" s="2"/>
      <c r="F584" s="2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2"/>
      <c r="T584" s="2"/>
      <c r="U584" s="2"/>
      <c r="V584" s="2"/>
      <c r="W584" s="2"/>
      <c r="X584" s="2"/>
      <c r="Y584" s="3"/>
      <c r="Z584" s="3"/>
      <c r="AA584" s="2"/>
      <c r="AB584" s="2"/>
      <c r="AC584" s="2"/>
      <c r="AD584" s="2"/>
      <c r="AE584" s="2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4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</row>
    <row r="585" ht="15.75">
      <c r="A585" s="3"/>
      <c r="B585" s="2"/>
      <c r="C585" s="2"/>
      <c r="D585" s="2"/>
      <c r="E585" s="2"/>
      <c r="F585" s="2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  <c r="S585" s="2"/>
      <c r="T585" s="2"/>
      <c r="U585" s="2"/>
      <c r="V585" s="2"/>
      <c r="W585" s="2"/>
      <c r="X585" s="2"/>
      <c r="Y585" s="3"/>
      <c r="Z585" s="3"/>
      <c r="AA585" s="2"/>
      <c r="AB585" s="2"/>
      <c r="AC585" s="2"/>
      <c r="AD585" s="2"/>
      <c r="AE585" s="2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4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</row>
    <row r="586" ht="15.75">
      <c r="A586" s="3"/>
      <c r="B586" s="2"/>
      <c r="C586" s="2"/>
      <c r="D586" s="2"/>
      <c r="E586" s="2"/>
      <c r="F586" s="2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2"/>
      <c r="T586" s="2"/>
      <c r="U586" s="2"/>
      <c r="V586" s="2"/>
      <c r="W586" s="2"/>
      <c r="X586" s="2"/>
      <c r="Y586" s="3"/>
      <c r="Z586" s="3"/>
      <c r="AA586" s="2"/>
      <c r="AB586" s="2"/>
      <c r="AC586" s="2"/>
      <c r="AD586" s="2"/>
      <c r="AE586" s="2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4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</row>
    <row r="587" ht="15.75">
      <c r="A587" s="3"/>
      <c r="B587" s="2"/>
      <c r="C587" s="2"/>
      <c r="D587" s="2"/>
      <c r="E587" s="2"/>
      <c r="F587" s="2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2"/>
      <c r="T587" s="2"/>
      <c r="U587" s="2"/>
      <c r="V587" s="2"/>
      <c r="W587" s="2"/>
      <c r="X587" s="2"/>
      <c r="Y587" s="3"/>
      <c r="Z587" s="3"/>
      <c r="AA587" s="2"/>
      <c r="AB587" s="2"/>
      <c r="AC587" s="2"/>
      <c r="AD587" s="2"/>
      <c r="AE587" s="2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4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</row>
    <row r="588" ht="15.75">
      <c r="A588" s="3"/>
      <c r="B588" s="2"/>
      <c r="C588" s="2"/>
      <c r="D588" s="2"/>
      <c r="E588" s="2"/>
      <c r="F588" s="2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2"/>
      <c r="T588" s="2"/>
      <c r="U588" s="2"/>
      <c r="V588" s="2"/>
      <c r="W588" s="2"/>
      <c r="X588" s="2"/>
      <c r="Y588" s="3"/>
      <c r="Z588" s="3"/>
      <c r="AA588" s="2"/>
      <c r="AB588" s="2"/>
      <c r="AC588" s="2"/>
      <c r="AD588" s="2"/>
      <c r="AE588" s="2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4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</row>
    <row r="589" ht="15.75">
      <c r="A589" s="3"/>
      <c r="B589" s="2"/>
      <c r="C589" s="2"/>
      <c r="D589" s="2"/>
      <c r="E589" s="2"/>
      <c r="F589" s="2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2"/>
      <c r="T589" s="2"/>
      <c r="U589" s="2"/>
      <c r="V589" s="2"/>
      <c r="W589" s="2"/>
      <c r="X589" s="2"/>
      <c r="Y589" s="3"/>
      <c r="Z589" s="3"/>
      <c r="AA589" s="2"/>
      <c r="AB589" s="2"/>
      <c r="AC589" s="2"/>
      <c r="AD589" s="2"/>
      <c r="AE589" s="2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4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</row>
    <row r="590" ht="15.75">
      <c r="A590" s="3"/>
      <c r="B590" s="2"/>
      <c r="C590" s="2"/>
      <c r="D590" s="2"/>
      <c r="E590" s="2"/>
      <c r="F590" s="2"/>
      <c r="G590" s="2"/>
      <c r="H590" s="2"/>
      <c r="I590" s="2"/>
      <c r="J590" s="3"/>
      <c r="K590" s="3"/>
      <c r="L590" s="3"/>
      <c r="M590" s="3"/>
      <c r="N590" s="3"/>
      <c r="O590" s="3"/>
      <c r="P590" s="3"/>
      <c r="Q590" s="3"/>
      <c r="R590" s="3"/>
      <c r="S590" s="2"/>
      <c r="T590" s="2"/>
      <c r="U590" s="2"/>
      <c r="V590" s="2"/>
      <c r="W590" s="2"/>
      <c r="X590" s="2"/>
      <c r="Y590" s="3"/>
      <c r="Z590" s="3"/>
      <c r="AA590" s="2"/>
      <c r="AB590" s="2"/>
      <c r="AC590" s="2"/>
      <c r="AD590" s="2"/>
      <c r="AE590" s="2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4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</row>
    <row r="591" ht="15.75">
      <c r="A591" s="3"/>
      <c r="B591" s="2"/>
      <c r="C591" s="2"/>
      <c r="D591" s="2"/>
      <c r="E591" s="2"/>
      <c r="F591" s="2"/>
      <c r="G591" s="2"/>
      <c r="H591" s="2"/>
      <c r="I591" s="2"/>
      <c r="J591" s="3"/>
      <c r="K591" s="3"/>
      <c r="L591" s="3"/>
      <c r="M591" s="3"/>
      <c r="N591" s="3"/>
      <c r="O591" s="3"/>
      <c r="P591" s="3"/>
      <c r="Q591" s="3"/>
      <c r="R591" s="3"/>
      <c r="S591" s="2"/>
      <c r="T591" s="2"/>
      <c r="U591" s="2"/>
      <c r="V591" s="2"/>
      <c r="W591" s="2"/>
      <c r="X591" s="2"/>
      <c r="Y591" s="3"/>
      <c r="Z591" s="3"/>
      <c r="AA591" s="2"/>
      <c r="AB591" s="2"/>
      <c r="AC591" s="2"/>
      <c r="AD591" s="2"/>
      <c r="AE591" s="2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4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</row>
    <row r="592" ht="15.75">
      <c r="A592" s="3"/>
      <c r="B592" s="2"/>
      <c r="C592" s="2"/>
      <c r="D592" s="2"/>
      <c r="E592" s="2"/>
      <c r="F592" s="2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2"/>
      <c r="T592" s="2"/>
      <c r="U592" s="2"/>
      <c r="V592" s="2"/>
      <c r="W592" s="2"/>
      <c r="X592" s="2"/>
      <c r="Y592" s="3"/>
      <c r="Z592" s="3"/>
      <c r="AA592" s="2"/>
      <c r="AB592" s="2"/>
      <c r="AC592" s="2"/>
      <c r="AD592" s="2"/>
      <c r="AE592" s="2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4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</row>
    <row r="593" ht="15.75">
      <c r="A593" s="3"/>
      <c r="B593" s="2"/>
      <c r="C593" s="2"/>
      <c r="D593" s="2"/>
      <c r="E593" s="2"/>
      <c r="F593" s="2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2"/>
      <c r="T593" s="2"/>
      <c r="U593" s="2"/>
      <c r="V593" s="2"/>
      <c r="W593" s="2"/>
      <c r="X593" s="2"/>
      <c r="Y593" s="3"/>
      <c r="Z593" s="3"/>
      <c r="AA593" s="2"/>
      <c r="AB593" s="2"/>
      <c r="AC593" s="2"/>
      <c r="AD593" s="2"/>
      <c r="AE593" s="2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4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</row>
    <row r="594" ht="15.75">
      <c r="A594" s="3"/>
      <c r="B594" s="2"/>
      <c r="C594" s="2"/>
      <c r="D594" s="2"/>
      <c r="E594" s="2"/>
      <c r="F594" s="2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2"/>
      <c r="T594" s="2"/>
      <c r="U594" s="2"/>
      <c r="V594" s="2"/>
      <c r="W594" s="2"/>
      <c r="X594" s="2"/>
      <c r="Y594" s="3"/>
      <c r="Z594" s="3"/>
      <c r="AA594" s="2"/>
      <c r="AB594" s="2"/>
      <c r="AC594" s="2"/>
      <c r="AD594" s="2"/>
      <c r="AE594" s="2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4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</row>
    <row r="595" ht="15.75">
      <c r="A595" s="3"/>
      <c r="B595" s="2"/>
      <c r="C595" s="2"/>
      <c r="D595" s="2"/>
      <c r="E595" s="2"/>
      <c r="F595" s="2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2"/>
      <c r="T595" s="2"/>
      <c r="U595" s="2"/>
      <c r="V595" s="2"/>
      <c r="W595" s="2"/>
      <c r="X595" s="2"/>
      <c r="Y595" s="3"/>
      <c r="Z595" s="3"/>
      <c r="AA595" s="2"/>
      <c r="AB595" s="2"/>
      <c r="AC595" s="2"/>
      <c r="AD595" s="2"/>
      <c r="AE595" s="2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4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</row>
    <row r="596" ht="15.75">
      <c r="A596" s="3"/>
      <c r="B596" s="2"/>
      <c r="C596" s="2"/>
      <c r="D596" s="2"/>
      <c r="E596" s="2"/>
      <c r="F596" s="2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2"/>
      <c r="T596" s="2"/>
      <c r="U596" s="2"/>
      <c r="V596" s="2"/>
      <c r="W596" s="2"/>
      <c r="X596" s="2"/>
      <c r="Y596" s="3"/>
      <c r="Z596" s="3"/>
      <c r="AA596" s="2"/>
      <c r="AB596" s="2"/>
      <c r="AC596" s="2"/>
      <c r="AD596" s="2"/>
      <c r="AE596" s="2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4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</row>
    <row r="597" ht="15.75">
      <c r="A597" s="3"/>
      <c r="B597" s="2"/>
      <c r="C597" s="2"/>
      <c r="D597" s="2"/>
      <c r="E597" s="2"/>
      <c r="F597" s="2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2"/>
      <c r="T597" s="2"/>
      <c r="U597" s="2"/>
      <c r="V597" s="2"/>
      <c r="W597" s="2"/>
      <c r="X597" s="2"/>
      <c r="Y597" s="3"/>
      <c r="Z597" s="3"/>
      <c r="AA597" s="2"/>
      <c r="AB597" s="2"/>
      <c r="AC597" s="2"/>
      <c r="AD597" s="2"/>
      <c r="AE597" s="2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4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</row>
    <row r="598" ht="15.75">
      <c r="A598" s="3"/>
      <c r="B598" s="2"/>
      <c r="C598" s="2"/>
      <c r="D598" s="2"/>
      <c r="E598" s="2"/>
      <c r="F598" s="2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2"/>
      <c r="T598" s="2"/>
      <c r="U598" s="2"/>
      <c r="V598" s="2"/>
      <c r="W598" s="2"/>
      <c r="X598" s="2"/>
      <c r="Y598" s="3"/>
      <c r="Z598" s="3"/>
      <c r="AA598" s="2"/>
      <c r="AB598" s="2"/>
      <c r="AC598" s="2"/>
      <c r="AD598" s="2"/>
      <c r="AE598" s="2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4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</row>
    <row r="599" ht="15.75">
      <c r="A599" s="3"/>
      <c r="B599" s="2"/>
      <c r="C599" s="2"/>
      <c r="D599" s="2"/>
      <c r="E599" s="2"/>
      <c r="F599" s="2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2"/>
      <c r="T599" s="2"/>
      <c r="U599" s="2"/>
      <c r="V599" s="2"/>
      <c r="W599" s="2"/>
      <c r="X599" s="2"/>
      <c r="Y599" s="3"/>
      <c r="Z599" s="3"/>
      <c r="AA599" s="2"/>
      <c r="AB599" s="2"/>
      <c r="AC599" s="2"/>
      <c r="AD599" s="2"/>
      <c r="AE599" s="2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4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</row>
    <row r="600" ht="15.75">
      <c r="A600" s="3"/>
      <c r="B600" s="2"/>
      <c r="C600" s="2"/>
      <c r="D600" s="2"/>
      <c r="E600" s="2"/>
      <c r="F600" s="2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2"/>
      <c r="T600" s="2"/>
      <c r="U600" s="2"/>
      <c r="V600" s="2"/>
      <c r="W600" s="2"/>
      <c r="X600" s="2"/>
      <c r="Y600" s="3"/>
      <c r="Z600" s="3"/>
      <c r="AA600" s="2"/>
      <c r="AB600" s="2"/>
      <c r="AC600" s="2"/>
      <c r="AD600" s="2"/>
      <c r="AE600" s="2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4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</row>
    <row r="601" ht="15.75">
      <c r="A601" s="3"/>
      <c r="B601" s="2"/>
      <c r="C601" s="2"/>
      <c r="D601" s="2"/>
      <c r="E601" s="2"/>
      <c r="F601" s="2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2"/>
      <c r="T601" s="2"/>
      <c r="U601" s="2"/>
      <c r="V601" s="2"/>
      <c r="W601" s="2"/>
      <c r="X601" s="2"/>
      <c r="Y601" s="3"/>
      <c r="Z601" s="3"/>
      <c r="AA601" s="2"/>
      <c r="AB601" s="2"/>
      <c r="AC601" s="2"/>
      <c r="AD601" s="2"/>
      <c r="AE601" s="2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4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</row>
    <row r="602" ht="15.75">
      <c r="A602" s="3"/>
      <c r="B602" s="2"/>
      <c r="C602" s="2"/>
      <c r="D602" s="2"/>
      <c r="E602" s="2"/>
      <c r="F602" s="2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2"/>
      <c r="T602" s="2"/>
      <c r="U602" s="2"/>
      <c r="V602" s="2"/>
      <c r="W602" s="2"/>
      <c r="X602" s="2"/>
      <c r="Y602" s="3"/>
      <c r="Z602" s="3"/>
      <c r="AA602" s="2"/>
      <c r="AB602" s="2"/>
      <c r="AC602" s="2"/>
      <c r="AD602" s="2"/>
      <c r="AE602" s="2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4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</row>
    <row r="603" ht="15.75">
      <c r="A603" s="3"/>
      <c r="B603" s="2"/>
      <c r="C603" s="2"/>
      <c r="D603" s="2"/>
      <c r="E603" s="2"/>
      <c r="F603" s="2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2"/>
      <c r="T603" s="2"/>
      <c r="U603" s="2"/>
      <c r="V603" s="2"/>
      <c r="W603" s="2"/>
      <c r="X603" s="2"/>
      <c r="Y603" s="3"/>
      <c r="Z603" s="3"/>
      <c r="AA603" s="2"/>
      <c r="AB603" s="2"/>
      <c r="AC603" s="2"/>
      <c r="AD603" s="2"/>
      <c r="AE603" s="2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4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</row>
    <row r="604" ht="15.75">
      <c r="A604" s="3"/>
      <c r="B604" s="2"/>
      <c r="C604" s="2"/>
      <c r="D604" s="2"/>
      <c r="E604" s="2"/>
      <c r="F604" s="2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2"/>
      <c r="T604" s="2"/>
      <c r="U604" s="2"/>
      <c r="V604" s="2"/>
      <c r="W604" s="2"/>
      <c r="X604" s="2"/>
      <c r="Y604" s="3"/>
      <c r="Z604" s="3"/>
      <c r="AA604" s="2"/>
      <c r="AB604" s="2"/>
      <c r="AC604" s="2"/>
      <c r="AD604" s="2"/>
      <c r="AE604" s="2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4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</row>
    <row r="605" ht="15.75">
      <c r="A605" s="3"/>
      <c r="B605" s="2"/>
      <c r="C605" s="2"/>
      <c r="D605" s="2"/>
      <c r="E605" s="2"/>
      <c r="F605" s="2"/>
      <c r="G605" s="2"/>
      <c r="H605" s="2"/>
      <c r="I605" s="2"/>
      <c r="J605" s="3"/>
      <c r="K605" s="3"/>
      <c r="L605" s="3"/>
      <c r="M605" s="3"/>
      <c r="N605" s="3"/>
      <c r="O605" s="3"/>
      <c r="P605" s="3"/>
      <c r="Q605" s="3"/>
      <c r="R605" s="3"/>
      <c r="S605" s="2"/>
      <c r="T605" s="2"/>
      <c r="U605" s="2"/>
      <c r="V605" s="2"/>
      <c r="W605" s="2"/>
      <c r="X605" s="2"/>
      <c r="Y605" s="3"/>
      <c r="Z605" s="3"/>
      <c r="AA605" s="2"/>
      <c r="AB605" s="2"/>
      <c r="AC605" s="2"/>
      <c r="AD605" s="2"/>
      <c r="AE605" s="2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4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</row>
    <row r="606" ht="15.75">
      <c r="A606" s="3"/>
      <c r="B606" s="2"/>
      <c r="C606" s="2"/>
      <c r="D606" s="2"/>
      <c r="E606" s="2"/>
      <c r="F606" s="2"/>
      <c r="G606" s="2"/>
      <c r="H606" s="2"/>
      <c r="I606" s="2"/>
      <c r="J606" s="3"/>
      <c r="K606" s="3"/>
      <c r="L606" s="3"/>
      <c r="M606" s="3"/>
      <c r="N606" s="3"/>
      <c r="O606" s="3"/>
      <c r="P606" s="3"/>
      <c r="Q606" s="3"/>
      <c r="R606" s="3"/>
      <c r="S606" s="2"/>
      <c r="T606" s="2"/>
      <c r="U606" s="2"/>
      <c r="V606" s="2"/>
      <c r="W606" s="2"/>
      <c r="X606" s="2"/>
      <c r="Y606" s="3"/>
      <c r="Z606" s="3"/>
      <c r="AA606" s="2"/>
      <c r="AB606" s="2"/>
      <c r="AC606" s="2"/>
      <c r="AD606" s="2"/>
      <c r="AE606" s="2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4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</row>
    <row r="607" ht="15.75">
      <c r="A607" s="3"/>
      <c r="B607" s="2"/>
      <c r="C607" s="2"/>
      <c r="D607" s="2"/>
      <c r="E607" s="2"/>
      <c r="F607" s="2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2"/>
      <c r="T607" s="2"/>
      <c r="U607" s="2"/>
      <c r="V607" s="2"/>
      <c r="W607" s="2"/>
      <c r="X607" s="2"/>
      <c r="Y607" s="3"/>
      <c r="Z607" s="3"/>
      <c r="AA607" s="2"/>
      <c r="AB607" s="2"/>
      <c r="AC607" s="2"/>
      <c r="AD607" s="2"/>
      <c r="AE607" s="2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4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</row>
    <row r="608" ht="15.75">
      <c r="A608" s="3"/>
      <c r="B608" s="2"/>
      <c r="C608" s="2"/>
      <c r="D608" s="2"/>
      <c r="E608" s="2"/>
      <c r="F608" s="2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  <c r="S608" s="2"/>
      <c r="T608" s="2"/>
      <c r="U608" s="2"/>
      <c r="V608" s="2"/>
      <c r="W608" s="2"/>
      <c r="X608" s="2"/>
      <c r="Y608" s="3"/>
      <c r="Z608" s="3"/>
      <c r="AA608" s="2"/>
      <c r="AB608" s="2"/>
      <c r="AC608" s="2"/>
      <c r="AD608" s="2"/>
      <c r="AE608" s="2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4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</row>
    <row r="609" ht="15.75">
      <c r="A609" s="3"/>
      <c r="B609" s="2"/>
      <c r="C609" s="2"/>
      <c r="D609" s="2"/>
      <c r="E609" s="2"/>
      <c r="F609" s="2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  <c r="S609" s="2"/>
      <c r="T609" s="2"/>
      <c r="U609" s="2"/>
      <c r="V609" s="2"/>
      <c r="W609" s="2"/>
      <c r="X609" s="2"/>
      <c r="Y609" s="3"/>
      <c r="Z609" s="3"/>
      <c r="AA609" s="2"/>
      <c r="AB609" s="2"/>
      <c r="AC609" s="2"/>
      <c r="AD609" s="2"/>
      <c r="AE609" s="2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4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</row>
    <row r="610" ht="15.75">
      <c r="A610" s="3"/>
      <c r="B610" s="2"/>
      <c r="C610" s="2"/>
      <c r="D610" s="2"/>
      <c r="E610" s="2"/>
      <c r="F610" s="2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2"/>
      <c r="T610" s="2"/>
      <c r="U610" s="2"/>
      <c r="V610" s="2"/>
      <c r="W610" s="2"/>
      <c r="X610" s="2"/>
      <c r="Y610" s="3"/>
      <c r="Z610" s="3"/>
      <c r="AA610" s="2"/>
      <c r="AB610" s="2"/>
      <c r="AC610" s="2"/>
      <c r="AD610" s="2"/>
      <c r="AE610" s="2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4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</row>
    <row r="611" ht="15.75">
      <c r="A611" s="3"/>
      <c r="B611" s="2"/>
      <c r="C611" s="2"/>
      <c r="D611" s="2"/>
      <c r="E611" s="2"/>
      <c r="F611" s="2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2"/>
      <c r="T611" s="2"/>
      <c r="U611" s="2"/>
      <c r="V611" s="2"/>
      <c r="W611" s="2"/>
      <c r="X611" s="2"/>
      <c r="Y611" s="3"/>
      <c r="Z611" s="3"/>
      <c r="AA611" s="2"/>
      <c r="AB611" s="2"/>
      <c r="AC611" s="2"/>
      <c r="AD611" s="2"/>
      <c r="AE611" s="2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4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</row>
    <row r="612" ht="15.75">
      <c r="A612" s="3"/>
      <c r="B612" s="2"/>
      <c r="C612" s="2"/>
      <c r="D612" s="2"/>
      <c r="E612" s="2"/>
      <c r="F612" s="2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2"/>
      <c r="T612" s="2"/>
      <c r="U612" s="2"/>
      <c r="V612" s="2"/>
      <c r="W612" s="2"/>
      <c r="X612" s="2"/>
      <c r="Y612" s="3"/>
      <c r="Z612" s="3"/>
      <c r="AA612" s="2"/>
      <c r="AB612" s="2"/>
      <c r="AC612" s="2"/>
      <c r="AD612" s="2"/>
      <c r="AE612" s="2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4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</row>
    <row r="613" ht="15.75">
      <c r="A613" s="3"/>
      <c r="B613" s="2"/>
      <c r="C613" s="2"/>
      <c r="D613" s="2"/>
      <c r="E613" s="2"/>
      <c r="F613" s="2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2"/>
      <c r="T613" s="2"/>
      <c r="U613" s="2"/>
      <c r="V613" s="2"/>
      <c r="W613" s="2"/>
      <c r="X613" s="2"/>
      <c r="Y613" s="3"/>
      <c r="Z613" s="3"/>
      <c r="AA613" s="2"/>
      <c r="AB613" s="2"/>
      <c r="AC613" s="2"/>
      <c r="AD613" s="2"/>
      <c r="AE613" s="2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4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</row>
    <row r="614" ht="15.75">
      <c r="A614" s="3"/>
      <c r="B614" s="2"/>
      <c r="C614" s="2"/>
      <c r="D614" s="2"/>
      <c r="E614" s="2"/>
      <c r="F614" s="2"/>
      <c r="G614" s="2"/>
      <c r="H614" s="2"/>
      <c r="I614" s="2"/>
      <c r="J614" s="3"/>
      <c r="K614" s="3"/>
      <c r="L614" s="3"/>
      <c r="M614" s="3"/>
      <c r="N614" s="3"/>
      <c r="O614" s="3"/>
      <c r="P614" s="3"/>
      <c r="Q614" s="3"/>
      <c r="R614" s="3"/>
      <c r="S614" s="2"/>
      <c r="T614" s="2"/>
      <c r="U614" s="2"/>
      <c r="V614" s="2"/>
      <c r="W614" s="2"/>
      <c r="X614" s="2"/>
      <c r="Y614" s="3"/>
      <c r="Z614" s="3"/>
      <c r="AA614" s="2"/>
      <c r="AB614" s="2"/>
      <c r="AC614" s="2"/>
      <c r="AD614" s="2"/>
      <c r="AE614" s="2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4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</row>
    <row r="615" ht="15.75">
      <c r="A615" s="3"/>
      <c r="B615" s="2"/>
      <c r="C615" s="2"/>
      <c r="D615" s="2"/>
      <c r="E615" s="2"/>
      <c r="F615" s="2"/>
      <c r="G615" s="2"/>
      <c r="H615" s="2"/>
      <c r="I615" s="2"/>
      <c r="J615" s="3"/>
      <c r="K615" s="3"/>
      <c r="L615" s="3"/>
      <c r="M615" s="3"/>
      <c r="N615" s="3"/>
      <c r="O615" s="3"/>
      <c r="P615" s="3"/>
      <c r="Q615" s="3"/>
      <c r="R615" s="3"/>
      <c r="S615" s="2"/>
      <c r="T615" s="2"/>
      <c r="U615" s="2"/>
      <c r="V615" s="2"/>
      <c r="W615" s="2"/>
      <c r="X615" s="2"/>
      <c r="Y615" s="3"/>
      <c r="Z615" s="3"/>
      <c r="AA615" s="2"/>
      <c r="AB615" s="2"/>
      <c r="AC615" s="2"/>
      <c r="AD615" s="2"/>
      <c r="AE615" s="2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4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</row>
    <row r="616" ht="15.75">
      <c r="A616" s="3"/>
      <c r="B616" s="2"/>
      <c r="C616" s="2"/>
      <c r="D616" s="2"/>
      <c r="E616" s="2"/>
      <c r="F616" s="2"/>
      <c r="G616" s="2"/>
      <c r="H616" s="2"/>
      <c r="I616" s="2"/>
      <c r="J616" s="3"/>
      <c r="K616" s="3"/>
      <c r="L616" s="3"/>
      <c r="M616" s="3"/>
      <c r="N616" s="3"/>
      <c r="O616" s="3"/>
      <c r="P616" s="3"/>
      <c r="Q616" s="3"/>
      <c r="R616" s="3"/>
      <c r="S616" s="2"/>
      <c r="T616" s="2"/>
      <c r="U616" s="2"/>
      <c r="V616" s="2"/>
      <c r="W616" s="2"/>
      <c r="X616" s="2"/>
      <c r="Y616" s="3"/>
      <c r="Z616" s="3"/>
      <c r="AA616" s="2"/>
      <c r="AB616" s="2"/>
      <c r="AC616" s="2"/>
      <c r="AD616" s="2"/>
      <c r="AE616" s="2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4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</row>
    <row r="617" ht="15.75">
      <c r="A617" s="3"/>
      <c r="B617" s="2"/>
      <c r="C617" s="2"/>
      <c r="D617" s="2"/>
      <c r="E617" s="2"/>
      <c r="F617" s="2"/>
      <c r="G617" s="2"/>
      <c r="H617" s="2"/>
      <c r="I617" s="2"/>
      <c r="J617" s="3"/>
      <c r="K617" s="3"/>
      <c r="L617" s="3"/>
      <c r="M617" s="3"/>
      <c r="N617" s="3"/>
      <c r="O617" s="3"/>
      <c r="P617" s="3"/>
      <c r="Q617" s="3"/>
      <c r="R617" s="3"/>
      <c r="S617" s="2"/>
      <c r="T617" s="2"/>
      <c r="U617" s="2"/>
      <c r="V617" s="2"/>
      <c r="W617" s="2"/>
      <c r="X617" s="2"/>
      <c r="Y617" s="3"/>
      <c r="Z617" s="3"/>
      <c r="AA617" s="2"/>
      <c r="AB617" s="2"/>
      <c r="AC617" s="2"/>
      <c r="AD617" s="2"/>
      <c r="AE617" s="2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4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</row>
    <row r="618" ht="15.75">
      <c r="A618" s="3"/>
      <c r="B618" s="2"/>
      <c r="C618" s="2"/>
      <c r="D618" s="2"/>
      <c r="E618" s="2"/>
      <c r="F618" s="2"/>
      <c r="G618" s="2"/>
      <c r="H618" s="2"/>
      <c r="I618" s="2"/>
      <c r="J618" s="3"/>
      <c r="K618" s="3"/>
      <c r="L618" s="3"/>
      <c r="M618" s="3"/>
      <c r="N618" s="3"/>
      <c r="O618" s="3"/>
      <c r="P618" s="3"/>
      <c r="Q618" s="3"/>
      <c r="R618" s="3"/>
      <c r="S618" s="2"/>
      <c r="T618" s="2"/>
      <c r="U618" s="2"/>
      <c r="V618" s="2"/>
      <c r="W618" s="2"/>
      <c r="X618" s="2"/>
      <c r="Y618" s="3"/>
      <c r="Z618" s="3"/>
      <c r="AA618" s="2"/>
      <c r="AB618" s="2"/>
      <c r="AC618" s="2"/>
      <c r="AD618" s="2"/>
      <c r="AE618" s="2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4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</row>
    <row r="619" ht="15.75">
      <c r="A619" s="3"/>
      <c r="B619" s="2"/>
      <c r="C619" s="2"/>
      <c r="D619" s="2"/>
      <c r="E619" s="2"/>
      <c r="F619" s="2"/>
      <c r="G619" s="2"/>
      <c r="H619" s="2"/>
      <c r="I619" s="2"/>
      <c r="J619" s="3"/>
      <c r="K619" s="3"/>
      <c r="L619" s="3"/>
      <c r="M619" s="3"/>
      <c r="N619" s="3"/>
      <c r="O619" s="3"/>
      <c r="P619" s="3"/>
      <c r="Q619" s="3"/>
      <c r="R619" s="3"/>
      <c r="S619" s="2"/>
      <c r="T619" s="2"/>
      <c r="U619" s="2"/>
      <c r="V619" s="2"/>
      <c r="W619" s="2"/>
      <c r="X619" s="2"/>
      <c r="Y619" s="3"/>
      <c r="Z619" s="3"/>
      <c r="AA619" s="2"/>
      <c r="AB619" s="2"/>
      <c r="AC619" s="2"/>
      <c r="AD619" s="2"/>
      <c r="AE619" s="2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4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</row>
    <row r="620" ht="15.75">
      <c r="A620" s="3"/>
      <c r="B620" s="2"/>
      <c r="C620" s="2"/>
      <c r="D620" s="2"/>
      <c r="E620" s="2"/>
      <c r="F620" s="2"/>
      <c r="G620" s="2"/>
      <c r="H620" s="2"/>
      <c r="I620" s="2"/>
      <c r="J620" s="3"/>
      <c r="K620" s="3"/>
      <c r="L620" s="3"/>
      <c r="M620" s="3"/>
      <c r="N620" s="3"/>
      <c r="O620" s="3"/>
      <c r="P620" s="3"/>
      <c r="Q620" s="3"/>
      <c r="R620" s="3"/>
      <c r="S620" s="2"/>
      <c r="T620" s="2"/>
      <c r="U620" s="2"/>
      <c r="V620" s="2"/>
      <c r="W620" s="2"/>
      <c r="X620" s="2"/>
      <c r="Y620" s="3"/>
      <c r="Z620" s="3"/>
      <c r="AA620" s="2"/>
      <c r="AB620" s="2"/>
      <c r="AC620" s="2"/>
      <c r="AD620" s="2"/>
      <c r="AE620" s="2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4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</row>
    <row r="621" ht="15.75">
      <c r="A621" s="3"/>
      <c r="B621" s="2"/>
      <c r="C621" s="2"/>
      <c r="D621" s="2"/>
      <c r="E621" s="2"/>
      <c r="F621" s="2"/>
      <c r="G621" s="2"/>
      <c r="H621" s="2"/>
      <c r="I621" s="2"/>
      <c r="J621" s="3"/>
      <c r="K621" s="3"/>
      <c r="L621" s="3"/>
      <c r="M621" s="3"/>
      <c r="N621" s="3"/>
      <c r="O621" s="3"/>
      <c r="P621" s="3"/>
      <c r="Q621" s="3"/>
      <c r="R621" s="3"/>
      <c r="S621" s="2"/>
      <c r="T621" s="2"/>
      <c r="U621" s="2"/>
      <c r="V621" s="2"/>
      <c r="W621" s="2"/>
      <c r="X621" s="2"/>
      <c r="Y621" s="3"/>
      <c r="Z621" s="3"/>
      <c r="AA621" s="2"/>
      <c r="AB621" s="2"/>
      <c r="AC621" s="2"/>
      <c r="AD621" s="2"/>
      <c r="AE621" s="2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4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</row>
    <row r="622" ht="15.75">
      <c r="A622" s="3"/>
      <c r="B622" s="2"/>
      <c r="C622" s="2"/>
      <c r="D622" s="2"/>
      <c r="E622" s="2"/>
      <c r="F622" s="2"/>
      <c r="G622" s="2"/>
      <c r="H622" s="2"/>
      <c r="I622" s="2"/>
      <c r="J622" s="3"/>
      <c r="K622" s="3"/>
      <c r="L622" s="3"/>
      <c r="M622" s="3"/>
      <c r="N622" s="3"/>
      <c r="O622" s="3"/>
      <c r="P622" s="3"/>
      <c r="Q622" s="3"/>
      <c r="R622" s="3"/>
      <c r="S622" s="2"/>
      <c r="T622" s="2"/>
      <c r="U622" s="2"/>
      <c r="V622" s="2"/>
      <c r="W622" s="2"/>
      <c r="X622" s="2"/>
      <c r="Y622" s="3"/>
      <c r="Z622" s="3"/>
      <c r="AA622" s="2"/>
      <c r="AB622" s="2"/>
      <c r="AC622" s="2"/>
      <c r="AD622" s="2"/>
      <c r="AE622" s="2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4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</row>
    <row r="623" ht="15.75">
      <c r="A623" s="3"/>
      <c r="B623" s="2"/>
      <c r="C623" s="2"/>
      <c r="D623" s="2"/>
      <c r="E623" s="2"/>
      <c r="F623" s="2"/>
      <c r="G623" s="2"/>
      <c r="H623" s="2"/>
      <c r="I623" s="2"/>
      <c r="J623" s="3"/>
      <c r="K623" s="3"/>
      <c r="L623" s="3"/>
      <c r="M623" s="3"/>
      <c r="N623" s="3"/>
      <c r="O623" s="3"/>
      <c r="P623" s="3"/>
      <c r="Q623" s="3"/>
      <c r="R623" s="3"/>
      <c r="S623" s="2"/>
      <c r="T623" s="2"/>
      <c r="U623" s="2"/>
      <c r="V623" s="2"/>
      <c r="W623" s="2"/>
      <c r="X623" s="2"/>
      <c r="Y623" s="3"/>
      <c r="Z623" s="3"/>
      <c r="AA623" s="2"/>
      <c r="AB623" s="2"/>
      <c r="AC623" s="2"/>
      <c r="AD623" s="2"/>
      <c r="AE623" s="2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4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</row>
    <row r="624" ht="15.75">
      <c r="A624" s="3"/>
      <c r="B624" s="2"/>
      <c r="C624" s="2"/>
      <c r="D624" s="2"/>
      <c r="E624" s="2"/>
      <c r="F624" s="2"/>
      <c r="G624" s="2"/>
      <c r="H624" s="2"/>
      <c r="I624" s="2"/>
      <c r="J624" s="3"/>
      <c r="K624" s="3"/>
      <c r="L624" s="3"/>
      <c r="M624" s="3"/>
      <c r="N624" s="3"/>
      <c r="O624" s="3"/>
      <c r="P624" s="3"/>
      <c r="Q624" s="3"/>
      <c r="R624" s="3"/>
      <c r="S624" s="2"/>
      <c r="T624" s="2"/>
      <c r="U624" s="2"/>
      <c r="V624" s="2"/>
      <c r="W624" s="2"/>
      <c r="X624" s="2"/>
      <c r="Y624" s="3"/>
      <c r="Z624" s="3"/>
      <c r="AA624" s="2"/>
      <c r="AB624" s="2"/>
      <c r="AC624" s="2"/>
      <c r="AD624" s="2"/>
      <c r="AE624" s="2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4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</row>
    <row r="625" ht="15.75">
      <c r="A625" s="3"/>
      <c r="B625" s="2"/>
      <c r="C625" s="2"/>
      <c r="D625" s="2"/>
      <c r="E625" s="2"/>
      <c r="F625" s="2"/>
      <c r="G625" s="2"/>
      <c r="H625" s="2"/>
      <c r="I625" s="2"/>
      <c r="J625" s="3"/>
      <c r="K625" s="3"/>
      <c r="L625" s="3"/>
      <c r="M625" s="3"/>
      <c r="N625" s="3"/>
      <c r="O625" s="3"/>
      <c r="P625" s="3"/>
      <c r="Q625" s="3"/>
      <c r="R625" s="3"/>
      <c r="S625" s="2"/>
      <c r="T625" s="2"/>
      <c r="U625" s="2"/>
      <c r="V625" s="2"/>
      <c r="W625" s="2"/>
      <c r="X625" s="2"/>
      <c r="Y625" s="3"/>
      <c r="Z625" s="3"/>
      <c r="AA625" s="2"/>
      <c r="AB625" s="2"/>
      <c r="AC625" s="2"/>
      <c r="AD625" s="2"/>
      <c r="AE625" s="2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4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</row>
    <row r="626" ht="15.75">
      <c r="A626" s="3"/>
      <c r="B626" s="2"/>
      <c r="C626" s="2"/>
      <c r="D626" s="2"/>
      <c r="E626" s="2"/>
      <c r="F626" s="2"/>
      <c r="G626" s="2"/>
      <c r="H626" s="2"/>
      <c r="I626" s="2"/>
      <c r="J626" s="3"/>
      <c r="K626" s="3"/>
      <c r="L626" s="3"/>
      <c r="M626" s="3"/>
      <c r="N626" s="3"/>
      <c r="O626" s="3"/>
      <c r="P626" s="3"/>
      <c r="Q626" s="3"/>
      <c r="R626" s="3"/>
      <c r="S626" s="2"/>
      <c r="T626" s="2"/>
      <c r="U626" s="2"/>
      <c r="V626" s="2"/>
      <c r="W626" s="2"/>
      <c r="X626" s="2"/>
      <c r="Y626" s="3"/>
      <c r="Z626" s="3"/>
      <c r="AA626" s="2"/>
      <c r="AB626" s="2"/>
      <c r="AC626" s="2"/>
      <c r="AD626" s="2"/>
      <c r="AE626" s="2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4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</row>
    <row r="627" ht="15.75">
      <c r="A627" s="3"/>
      <c r="B627" s="2"/>
      <c r="C627" s="2"/>
      <c r="D627" s="2"/>
      <c r="E627" s="2"/>
      <c r="F627" s="2"/>
      <c r="G627" s="2"/>
      <c r="H627" s="2"/>
      <c r="I627" s="2"/>
      <c r="J627" s="3"/>
      <c r="K627" s="3"/>
      <c r="L627" s="3"/>
      <c r="M627" s="3"/>
      <c r="N627" s="3"/>
      <c r="O627" s="3"/>
      <c r="P627" s="3"/>
      <c r="Q627" s="3"/>
      <c r="R627" s="3"/>
      <c r="S627" s="2"/>
      <c r="T627" s="2"/>
      <c r="U627" s="2"/>
      <c r="V627" s="2"/>
      <c r="W627" s="2"/>
      <c r="X627" s="2"/>
      <c r="Y627" s="3"/>
      <c r="Z627" s="3"/>
      <c r="AA627" s="2"/>
      <c r="AB627" s="2"/>
      <c r="AC627" s="2"/>
      <c r="AD627" s="2"/>
      <c r="AE627" s="2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4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</row>
    <row r="628" ht="15.75">
      <c r="A628" s="3"/>
      <c r="B628" s="2"/>
      <c r="C628" s="2"/>
      <c r="D628" s="2"/>
      <c r="E628" s="2"/>
      <c r="F628" s="2"/>
      <c r="G628" s="2"/>
      <c r="H628" s="2"/>
      <c r="I628" s="2"/>
      <c r="J628" s="3"/>
      <c r="K628" s="3"/>
      <c r="L628" s="3"/>
      <c r="M628" s="3"/>
      <c r="N628" s="3"/>
      <c r="O628" s="3"/>
      <c r="P628" s="3"/>
      <c r="Q628" s="3"/>
      <c r="R628" s="3"/>
      <c r="S628" s="2"/>
      <c r="T628" s="2"/>
      <c r="U628" s="2"/>
      <c r="V628" s="2"/>
      <c r="W628" s="2"/>
      <c r="X628" s="2"/>
      <c r="Y628" s="3"/>
      <c r="Z628" s="3"/>
      <c r="AA628" s="2"/>
      <c r="AB628" s="2"/>
      <c r="AC628" s="2"/>
      <c r="AD628" s="2"/>
      <c r="AE628" s="2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4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</row>
    <row r="629" ht="15.75">
      <c r="A629" s="3"/>
      <c r="B629" s="2"/>
      <c r="C629" s="2"/>
      <c r="D629" s="2"/>
      <c r="E629" s="2"/>
      <c r="F629" s="2"/>
      <c r="G629" s="2"/>
      <c r="H629" s="2"/>
      <c r="I629" s="2"/>
      <c r="J629" s="3"/>
      <c r="K629" s="3"/>
      <c r="L629" s="3"/>
      <c r="M629" s="3"/>
      <c r="N629" s="3"/>
      <c r="O629" s="3"/>
      <c r="P629" s="3"/>
      <c r="Q629" s="3"/>
      <c r="R629" s="3"/>
      <c r="S629" s="2"/>
      <c r="T629" s="2"/>
      <c r="U629" s="2"/>
      <c r="V629" s="2"/>
      <c r="W629" s="2"/>
      <c r="X629" s="2"/>
      <c r="Y629" s="3"/>
      <c r="Z629" s="3"/>
      <c r="AA629" s="2"/>
      <c r="AB629" s="2"/>
      <c r="AC629" s="2"/>
      <c r="AD629" s="2"/>
      <c r="AE629" s="2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4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</row>
    <row r="630" ht="15.75">
      <c r="A630" s="3"/>
      <c r="B630" s="2"/>
      <c r="C630" s="2"/>
      <c r="D630" s="2"/>
      <c r="E630" s="2"/>
      <c r="F630" s="2"/>
      <c r="G630" s="2"/>
      <c r="H630" s="2"/>
      <c r="I630" s="2"/>
      <c r="J630" s="3"/>
      <c r="K630" s="3"/>
      <c r="L630" s="3"/>
      <c r="M630" s="3"/>
      <c r="N630" s="3"/>
      <c r="O630" s="3"/>
      <c r="P630" s="3"/>
      <c r="Q630" s="3"/>
      <c r="R630" s="3"/>
      <c r="S630" s="2"/>
      <c r="T630" s="2"/>
      <c r="U630" s="2"/>
      <c r="V630" s="2"/>
      <c r="W630" s="2"/>
      <c r="X630" s="2"/>
      <c r="Y630" s="3"/>
      <c r="Z630" s="3"/>
      <c r="AA630" s="2"/>
      <c r="AB630" s="2"/>
      <c r="AC630" s="2"/>
      <c r="AD630" s="2"/>
      <c r="AE630" s="2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4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</row>
    <row r="631" ht="15.75">
      <c r="A631" s="3"/>
      <c r="B631" s="2"/>
      <c r="C631" s="2"/>
      <c r="D631" s="2"/>
      <c r="E631" s="2"/>
      <c r="F631" s="2"/>
      <c r="G631" s="2"/>
      <c r="H631" s="2"/>
      <c r="I631" s="2"/>
      <c r="J631" s="3"/>
      <c r="K631" s="3"/>
      <c r="L631" s="3"/>
      <c r="M631" s="3"/>
      <c r="N631" s="3"/>
      <c r="O631" s="3"/>
      <c r="P631" s="3"/>
      <c r="Q631" s="3"/>
      <c r="R631" s="3"/>
      <c r="S631" s="2"/>
      <c r="T631" s="2"/>
      <c r="U631" s="2"/>
      <c r="V631" s="2"/>
      <c r="W631" s="2"/>
      <c r="X631" s="2"/>
      <c r="Y631" s="3"/>
      <c r="Z631" s="3"/>
      <c r="AA631" s="2"/>
      <c r="AB631" s="2"/>
      <c r="AC631" s="2"/>
      <c r="AD631" s="2"/>
      <c r="AE631" s="2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4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</row>
    <row r="632" ht="15.75">
      <c r="A632" s="3"/>
      <c r="B632" s="2"/>
      <c r="C632" s="2"/>
      <c r="D632" s="2"/>
      <c r="E632" s="2"/>
      <c r="F632" s="2"/>
      <c r="G632" s="2"/>
      <c r="H632" s="2"/>
      <c r="I632" s="2"/>
      <c r="J632" s="3"/>
      <c r="K632" s="3"/>
      <c r="L632" s="3"/>
      <c r="M632" s="3"/>
      <c r="N632" s="3"/>
      <c r="O632" s="3"/>
      <c r="P632" s="3"/>
      <c r="Q632" s="3"/>
      <c r="R632" s="3"/>
      <c r="S632" s="2"/>
      <c r="T632" s="2"/>
      <c r="U632" s="2"/>
      <c r="V632" s="2"/>
      <c r="W632" s="2"/>
      <c r="X632" s="2"/>
      <c r="Y632" s="3"/>
      <c r="Z632" s="3"/>
      <c r="AA632" s="2"/>
      <c r="AB632" s="2"/>
      <c r="AC632" s="2"/>
      <c r="AD632" s="2"/>
      <c r="AE632" s="2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4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</row>
    <row r="633" ht="15.75">
      <c r="A633" s="3"/>
      <c r="B633" s="2"/>
      <c r="C633" s="2"/>
      <c r="D633" s="2"/>
      <c r="E633" s="2"/>
      <c r="F633" s="2"/>
      <c r="G633" s="2"/>
      <c r="H633" s="2"/>
      <c r="I633" s="2"/>
      <c r="J633" s="3"/>
      <c r="K633" s="3"/>
      <c r="L633" s="3"/>
      <c r="M633" s="3"/>
      <c r="N633" s="3"/>
      <c r="O633" s="3"/>
      <c r="P633" s="3"/>
      <c r="Q633" s="3"/>
      <c r="R633" s="3"/>
      <c r="S633" s="2"/>
      <c r="T633" s="2"/>
      <c r="U633" s="2"/>
      <c r="V633" s="2"/>
      <c r="W633" s="2"/>
      <c r="X633" s="2"/>
      <c r="Y633" s="3"/>
      <c r="Z633" s="3"/>
      <c r="AA633" s="2"/>
      <c r="AB633" s="2"/>
      <c r="AC633" s="2"/>
      <c r="AD633" s="2"/>
      <c r="AE633" s="2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4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</row>
    <row r="634" ht="15.75">
      <c r="A634" s="3"/>
      <c r="B634" s="2"/>
      <c r="C634" s="2"/>
      <c r="D634" s="2"/>
      <c r="E634" s="2"/>
      <c r="F634" s="2"/>
      <c r="G634" s="2"/>
      <c r="H634" s="2"/>
      <c r="I634" s="2"/>
      <c r="J634" s="3"/>
      <c r="K634" s="3"/>
      <c r="L634" s="3"/>
      <c r="M634" s="3"/>
      <c r="N634" s="3"/>
      <c r="O634" s="3"/>
      <c r="P634" s="3"/>
      <c r="Q634" s="3"/>
      <c r="R634" s="3"/>
      <c r="S634" s="2"/>
      <c r="T634" s="2"/>
      <c r="U634" s="2"/>
      <c r="V634" s="2"/>
      <c r="W634" s="2"/>
      <c r="X634" s="2"/>
      <c r="Y634" s="3"/>
      <c r="Z634" s="3"/>
      <c r="AA634" s="2"/>
      <c r="AB634" s="2"/>
      <c r="AC634" s="2"/>
      <c r="AD634" s="2"/>
      <c r="AE634" s="2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4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</row>
    <row r="635" ht="15.75">
      <c r="A635" s="3"/>
      <c r="B635" s="2"/>
      <c r="C635" s="2"/>
      <c r="D635" s="2"/>
      <c r="E635" s="2"/>
      <c r="F635" s="2"/>
      <c r="G635" s="2"/>
      <c r="H635" s="2"/>
      <c r="I635" s="2"/>
      <c r="J635" s="3"/>
      <c r="K635" s="3"/>
      <c r="L635" s="3"/>
      <c r="M635" s="3"/>
      <c r="N635" s="3"/>
      <c r="O635" s="3"/>
      <c r="P635" s="3"/>
      <c r="Q635" s="3"/>
      <c r="R635" s="3"/>
      <c r="S635" s="2"/>
      <c r="T635" s="2"/>
      <c r="U635" s="2"/>
      <c r="V635" s="2"/>
      <c r="W635" s="2"/>
      <c r="X635" s="2"/>
      <c r="Y635" s="3"/>
      <c r="Z635" s="3"/>
      <c r="AA635" s="2"/>
      <c r="AB635" s="2"/>
      <c r="AC635" s="2"/>
      <c r="AD635" s="2"/>
      <c r="AE635" s="2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4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</row>
    <row r="636" ht="15.75">
      <c r="A636" s="3"/>
      <c r="B636" s="2"/>
      <c r="C636" s="2"/>
      <c r="D636" s="2"/>
      <c r="E636" s="2"/>
      <c r="F636" s="2"/>
      <c r="G636" s="2"/>
      <c r="H636" s="2"/>
      <c r="I636" s="2"/>
      <c r="J636" s="3"/>
      <c r="K636" s="3"/>
      <c r="L636" s="3"/>
      <c r="M636" s="3"/>
      <c r="N636" s="3"/>
      <c r="O636" s="3"/>
      <c r="P636" s="3"/>
      <c r="Q636" s="3"/>
      <c r="R636" s="3"/>
      <c r="S636" s="2"/>
      <c r="T636" s="2"/>
      <c r="U636" s="2"/>
      <c r="V636" s="2"/>
      <c r="W636" s="2"/>
      <c r="X636" s="2"/>
      <c r="Y636" s="3"/>
      <c r="Z636" s="3"/>
      <c r="AA636" s="2"/>
      <c r="AB636" s="2"/>
      <c r="AC636" s="2"/>
      <c r="AD636" s="2"/>
      <c r="AE636" s="2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4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</row>
    <row r="637" ht="15.75">
      <c r="A637" s="3"/>
      <c r="B637" s="2"/>
      <c r="C637" s="2"/>
      <c r="D637" s="2"/>
      <c r="E637" s="2"/>
      <c r="F637" s="2"/>
      <c r="G637" s="2"/>
      <c r="H637" s="2"/>
      <c r="I637" s="2"/>
      <c r="J637" s="3"/>
      <c r="K637" s="3"/>
      <c r="L637" s="3"/>
      <c r="M637" s="3"/>
      <c r="N637" s="3"/>
      <c r="O637" s="3"/>
      <c r="P637" s="3"/>
      <c r="Q637" s="3"/>
      <c r="R637" s="3"/>
      <c r="S637" s="2"/>
      <c r="T637" s="2"/>
      <c r="U637" s="2"/>
      <c r="V637" s="2"/>
      <c r="W637" s="2"/>
      <c r="X637" s="2"/>
      <c r="Y637" s="3"/>
      <c r="Z637" s="3"/>
      <c r="AA637" s="2"/>
      <c r="AB637" s="2"/>
      <c r="AC637" s="2"/>
      <c r="AD637" s="2"/>
      <c r="AE637" s="2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4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</row>
    <row r="638" ht="15.75">
      <c r="A638" s="3"/>
      <c r="B638" s="2"/>
      <c r="C638" s="2"/>
      <c r="D638" s="2"/>
      <c r="E638" s="2"/>
      <c r="F638" s="2"/>
      <c r="G638" s="2"/>
      <c r="H638" s="2"/>
      <c r="I638" s="2"/>
      <c r="J638" s="3"/>
      <c r="K638" s="3"/>
      <c r="L638" s="3"/>
      <c r="M638" s="3"/>
      <c r="N638" s="3"/>
      <c r="O638" s="3"/>
      <c r="P638" s="3"/>
      <c r="Q638" s="3"/>
      <c r="R638" s="3"/>
      <c r="S638" s="2"/>
      <c r="T638" s="2"/>
      <c r="U638" s="2"/>
      <c r="V638" s="2"/>
      <c r="W638" s="2"/>
      <c r="X638" s="2"/>
      <c r="Y638" s="3"/>
      <c r="Z638" s="3"/>
      <c r="AA638" s="2"/>
      <c r="AB638" s="2"/>
      <c r="AC638" s="2"/>
      <c r="AD638" s="2"/>
      <c r="AE638" s="2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4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</row>
    <row r="639" ht="15.75">
      <c r="A639" s="3"/>
      <c r="B639" s="2"/>
      <c r="C639" s="2"/>
      <c r="D639" s="2"/>
      <c r="E639" s="2"/>
      <c r="F639" s="2"/>
      <c r="G639" s="2"/>
      <c r="H639" s="2"/>
      <c r="I639" s="2"/>
      <c r="J639" s="3"/>
      <c r="K639" s="3"/>
      <c r="L639" s="3"/>
      <c r="M639" s="3"/>
      <c r="N639" s="3"/>
      <c r="O639" s="3"/>
      <c r="P639" s="3"/>
      <c r="Q639" s="3"/>
      <c r="R639" s="3"/>
      <c r="S639" s="2"/>
      <c r="T639" s="2"/>
      <c r="U639" s="2"/>
      <c r="V639" s="2"/>
      <c r="W639" s="2"/>
      <c r="X639" s="2"/>
      <c r="Y639" s="3"/>
      <c r="Z639" s="3"/>
      <c r="AA639" s="2"/>
      <c r="AB639" s="2"/>
      <c r="AC639" s="2"/>
      <c r="AD639" s="2"/>
      <c r="AE639" s="2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4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</row>
    <row r="640" ht="15.75">
      <c r="A640" s="3"/>
      <c r="B640" s="2"/>
      <c r="C640" s="2"/>
      <c r="D640" s="2"/>
      <c r="E640" s="2"/>
      <c r="F640" s="2"/>
      <c r="G640" s="2"/>
      <c r="H640" s="2"/>
      <c r="I640" s="2"/>
      <c r="J640" s="3"/>
      <c r="K640" s="3"/>
      <c r="L640" s="3"/>
      <c r="M640" s="3"/>
      <c r="N640" s="3"/>
      <c r="O640" s="3"/>
      <c r="P640" s="3"/>
      <c r="Q640" s="3"/>
      <c r="R640" s="3"/>
      <c r="S640" s="2"/>
      <c r="T640" s="2"/>
      <c r="U640" s="2"/>
      <c r="V640" s="2"/>
      <c r="W640" s="2"/>
      <c r="X640" s="2"/>
      <c r="Y640" s="3"/>
      <c r="Z640" s="3"/>
      <c r="AA640" s="2"/>
      <c r="AB640" s="2"/>
      <c r="AC640" s="2"/>
      <c r="AD640" s="2"/>
      <c r="AE640" s="2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4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</row>
    <row r="641" ht="15.75">
      <c r="A641" s="3"/>
      <c r="B641" s="2"/>
      <c r="C641" s="2"/>
      <c r="D641" s="2"/>
      <c r="E641" s="2"/>
      <c r="F641" s="2"/>
      <c r="G641" s="2"/>
      <c r="H641" s="2"/>
      <c r="I641" s="2"/>
      <c r="J641" s="3"/>
      <c r="K641" s="3"/>
      <c r="L641" s="3"/>
      <c r="M641" s="3"/>
      <c r="N641" s="3"/>
      <c r="O641" s="3"/>
      <c r="P641" s="3"/>
      <c r="Q641" s="3"/>
      <c r="R641" s="3"/>
      <c r="S641" s="2"/>
      <c r="T641" s="2"/>
      <c r="U641" s="2"/>
      <c r="V641" s="2"/>
      <c r="W641" s="2"/>
      <c r="X641" s="2"/>
      <c r="Y641" s="3"/>
      <c r="Z641" s="3"/>
      <c r="AA641" s="2"/>
      <c r="AB641" s="2"/>
      <c r="AC641" s="2"/>
      <c r="AD641" s="2"/>
      <c r="AE641" s="2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4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</row>
    <row r="642" ht="15.75">
      <c r="A642" s="3"/>
      <c r="B642" s="2"/>
      <c r="C642" s="2"/>
      <c r="D642" s="2"/>
      <c r="E642" s="2"/>
      <c r="F642" s="2"/>
      <c r="G642" s="2"/>
      <c r="H642" s="2"/>
      <c r="I642" s="2"/>
      <c r="J642" s="3"/>
      <c r="K642" s="3"/>
      <c r="L642" s="3"/>
      <c r="M642" s="3"/>
      <c r="N642" s="3"/>
      <c r="O642" s="3"/>
      <c r="P642" s="3"/>
      <c r="Q642" s="3"/>
      <c r="R642" s="3"/>
      <c r="S642" s="2"/>
      <c r="T642" s="2"/>
      <c r="U642" s="2"/>
      <c r="V642" s="2"/>
      <c r="W642" s="2"/>
      <c r="X642" s="2"/>
      <c r="Y642" s="3"/>
      <c r="Z642" s="3"/>
      <c r="AA642" s="2"/>
      <c r="AB642" s="2"/>
      <c r="AC642" s="2"/>
      <c r="AD642" s="2"/>
      <c r="AE642" s="2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4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</row>
    <row r="643" ht="15.75">
      <c r="A643" s="3"/>
      <c r="B643" s="2"/>
      <c r="C643" s="2"/>
      <c r="D643" s="2"/>
      <c r="E643" s="2"/>
      <c r="F643" s="2"/>
      <c r="G643" s="2"/>
      <c r="H643" s="2"/>
      <c r="I643" s="2"/>
      <c r="J643" s="3"/>
      <c r="K643" s="3"/>
      <c r="L643" s="3"/>
      <c r="M643" s="3"/>
      <c r="N643" s="3"/>
      <c r="O643" s="3"/>
      <c r="P643" s="3"/>
      <c r="Q643" s="3"/>
      <c r="R643" s="3"/>
      <c r="S643" s="2"/>
      <c r="T643" s="2"/>
      <c r="U643" s="2"/>
      <c r="V643" s="2"/>
      <c r="W643" s="2"/>
      <c r="X643" s="2"/>
      <c r="Y643" s="3"/>
      <c r="Z643" s="3"/>
      <c r="AA643" s="2"/>
      <c r="AB643" s="2"/>
      <c r="AC643" s="2"/>
      <c r="AD643" s="2"/>
      <c r="AE643" s="2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4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</row>
    <row r="644" ht="15.75">
      <c r="A644" s="3"/>
      <c r="B644" s="2"/>
      <c r="C644" s="2"/>
      <c r="D644" s="2"/>
      <c r="E644" s="2"/>
      <c r="F644" s="2"/>
      <c r="G644" s="2"/>
      <c r="H644" s="2"/>
      <c r="I644" s="2"/>
      <c r="J644" s="3"/>
      <c r="K644" s="3"/>
      <c r="L644" s="3"/>
      <c r="M644" s="3"/>
      <c r="N644" s="3"/>
      <c r="O644" s="3"/>
      <c r="P644" s="3"/>
      <c r="Q644" s="3"/>
      <c r="R644" s="3"/>
      <c r="S644" s="2"/>
      <c r="T644" s="2"/>
      <c r="U644" s="2"/>
      <c r="V644" s="2"/>
      <c r="W644" s="2"/>
      <c r="X644" s="2"/>
      <c r="Y644" s="3"/>
      <c r="Z644" s="3"/>
      <c r="AA644" s="2"/>
      <c r="AB644" s="2"/>
      <c r="AC644" s="2"/>
      <c r="AD644" s="2"/>
      <c r="AE644" s="2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4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</row>
    <row r="645" ht="15.75">
      <c r="A645" s="3"/>
      <c r="B645" s="2"/>
      <c r="C645" s="2"/>
      <c r="D645" s="2"/>
      <c r="E645" s="2"/>
      <c r="F645" s="2"/>
      <c r="G645" s="2"/>
      <c r="H645" s="2"/>
      <c r="I645" s="2"/>
      <c r="J645" s="3"/>
      <c r="K645" s="3"/>
      <c r="L645" s="3"/>
      <c r="M645" s="3"/>
      <c r="N645" s="3"/>
      <c r="O645" s="3"/>
      <c r="P645" s="3"/>
      <c r="Q645" s="3"/>
      <c r="R645" s="3"/>
      <c r="S645" s="2"/>
      <c r="T645" s="2"/>
      <c r="U645" s="2"/>
      <c r="V645" s="2"/>
      <c r="W645" s="2"/>
      <c r="X645" s="2"/>
      <c r="Y645" s="3"/>
      <c r="Z645" s="3"/>
      <c r="AA645" s="2"/>
      <c r="AB645" s="2"/>
      <c r="AC645" s="2"/>
      <c r="AD645" s="2"/>
      <c r="AE645" s="2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4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</row>
    <row r="646" ht="15.75">
      <c r="A646" s="3"/>
      <c r="B646" s="2"/>
      <c r="C646" s="2"/>
      <c r="D646" s="2"/>
      <c r="E646" s="2"/>
      <c r="F646" s="2"/>
      <c r="G646" s="2"/>
      <c r="H646" s="2"/>
      <c r="I646" s="2"/>
      <c r="J646" s="3"/>
      <c r="K646" s="3"/>
      <c r="L646" s="3"/>
      <c r="M646" s="3"/>
      <c r="N646" s="3"/>
      <c r="O646" s="3"/>
      <c r="P646" s="3"/>
      <c r="Q646" s="3"/>
      <c r="R646" s="3"/>
      <c r="S646" s="2"/>
      <c r="T646" s="2"/>
      <c r="U646" s="2"/>
      <c r="V646" s="2"/>
      <c r="W646" s="2"/>
      <c r="X646" s="2"/>
      <c r="Y646" s="3"/>
      <c r="Z646" s="3"/>
      <c r="AA646" s="2"/>
      <c r="AB646" s="2"/>
      <c r="AC646" s="2"/>
      <c r="AD646" s="2"/>
      <c r="AE646" s="2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4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</row>
    <row r="647" ht="15.75">
      <c r="A647" s="3"/>
      <c r="B647" s="2"/>
      <c r="C647" s="2"/>
      <c r="D647" s="2"/>
      <c r="E647" s="2"/>
      <c r="F647" s="2"/>
      <c r="G647" s="2"/>
      <c r="H647" s="2"/>
      <c r="I647" s="2"/>
      <c r="J647" s="3"/>
      <c r="K647" s="3"/>
      <c r="L647" s="3"/>
      <c r="M647" s="3"/>
      <c r="N647" s="3"/>
      <c r="O647" s="3"/>
      <c r="P647" s="3"/>
      <c r="Q647" s="3"/>
      <c r="R647" s="3"/>
      <c r="S647" s="2"/>
      <c r="T647" s="2"/>
      <c r="U647" s="2"/>
      <c r="V647" s="2"/>
      <c r="W647" s="2"/>
      <c r="X647" s="2"/>
      <c r="Y647" s="3"/>
      <c r="Z647" s="3"/>
      <c r="AA647" s="2"/>
      <c r="AB647" s="2"/>
      <c r="AC647" s="2"/>
      <c r="AD647" s="2"/>
      <c r="AE647" s="2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4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</row>
    <row r="648" ht="15.75">
      <c r="A648" s="3"/>
      <c r="B648" s="2"/>
      <c r="C648" s="2"/>
      <c r="D648" s="2"/>
      <c r="E648" s="2"/>
      <c r="F648" s="2"/>
      <c r="G648" s="2"/>
      <c r="H648" s="2"/>
      <c r="I648" s="2"/>
      <c r="J648" s="3"/>
      <c r="K648" s="3"/>
      <c r="L648" s="3"/>
      <c r="M648" s="3"/>
      <c r="N648" s="3"/>
      <c r="O648" s="3"/>
      <c r="P648" s="3"/>
      <c r="Q648" s="3"/>
      <c r="R648" s="3"/>
      <c r="S648" s="2"/>
      <c r="T648" s="2"/>
      <c r="U648" s="2"/>
      <c r="V648" s="2"/>
      <c r="W648" s="2"/>
      <c r="X648" s="2"/>
      <c r="Y648" s="3"/>
      <c r="Z648" s="3"/>
      <c r="AA648" s="2"/>
      <c r="AB648" s="2"/>
      <c r="AC648" s="2"/>
      <c r="AD648" s="2"/>
      <c r="AE648" s="2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4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</row>
    <row r="649" ht="15.75">
      <c r="A649" s="3"/>
      <c r="B649" s="2"/>
      <c r="C649" s="2"/>
      <c r="D649" s="2"/>
      <c r="E649" s="2"/>
      <c r="F649" s="2"/>
      <c r="G649" s="2"/>
      <c r="H649" s="2"/>
      <c r="I649" s="2"/>
      <c r="J649" s="3"/>
      <c r="K649" s="3"/>
      <c r="L649" s="3"/>
      <c r="M649" s="3"/>
      <c r="N649" s="3"/>
      <c r="O649" s="3"/>
      <c r="P649" s="3"/>
      <c r="Q649" s="3"/>
      <c r="R649" s="3"/>
      <c r="S649" s="2"/>
      <c r="T649" s="2"/>
      <c r="U649" s="2"/>
      <c r="V649" s="2"/>
      <c r="W649" s="2"/>
      <c r="X649" s="2"/>
      <c r="Y649" s="3"/>
      <c r="Z649" s="3"/>
      <c r="AA649" s="2"/>
      <c r="AB649" s="2"/>
      <c r="AC649" s="2"/>
      <c r="AD649" s="2"/>
      <c r="AE649" s="2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4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</row>
    <row r="650" ht="15.75">
      <c r="A650" s="3"/>
      <c r="B650" s="2"/>
      <c r="C650" s="2"/>
      <c r="D650" s="2"/>
      <c r="E650" s="2"/>
      <c r="F650" s="2"/>
      <c r="G650" s="2"/>
      <c r="H650" s="2"/>
      <c r="I650" s="2"/>
      <c r="J650" s="3"/>
      <c r="K650" s="3"/>
      <c r="L650" s="3"/>
      <c r="M650" s="3"/>
      <c r="N650" s="3"/>
      <c r="O650" s="3"/>
      <c r="P650" s="3"/>
      <c r="Q650" s="3"/>
      <c r="R650" s="3"/>
      <c r="S650" s="2"/>
      <c r="T650" s="2"/>
      <c r="U650" s="2"/>
      <c r="V650" s="2"/>
      <c r="W650" s="2"/>
      <c r="X650" s="2"/>
      <c r="Y650" s="3"/>
      <c r="Z650" s="3"/>
      <c r="AA650" s="2"/>
      <c r="AB650" s="2"/>
      <c r="AC650" s="2"/>
      <c r="AD650" s="2"/>
      <c r="AE650" s="2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4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</row>
    <row r="651" ht="15.75">
      <c r="A651" s="3"/>
      <c r="B651" s="2"/>
      <c r="C651" s="2"/>
      <c r="D651" s="2"/>
      <c r="E651" s="2"/>
      <c r="F651" s="2"/>
      <c r="G651" s="2"/>
      <c r="H651" s="2"/>
      <c r="I651" s="2"/>
      <c r="J651" s="3"/>
      <c r="K651" s="3"/>
      <c r="L651" s="3"/>
      <c r="M651" s="3"/>
      <c r="N651" s="3"/>
      <c r="O651" s="3"/>
      <c r="P651" s="3"/>
      <c r="Q651" s="3"/>
      <c r="R651" s="3"/>
      <c r="S651" s="2"/>
      <c r="T651" s="2"/>
      <c r="U651" s="2"/>
      <c r="V651" s="2"/>
      <c r="W651" s="2"/>
      <c r="X651" s="2"/>
      <c r="Y651" s="3"/>
      <c r="Z651" s="3"/>
      <c r="AA651" s="2"/>
      <c r="AB651" s="2"/>
      <c r="AC651" s="2"/>
      <c r="AD651" s="2"/>
      <c r="AE651" s="2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4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</row>
    <row r="652" ht="15.75">
      <c r="A652" s="3"/>
      <c r="B652" s="2"/>
      <c r="C652" s="2"/>
      <c r="D652" s="2"/>
      <c r="E652" s="2"/>
      <c r="F652" s="2"/>
      <c r="G652" s="2"/>
      <c r="H652" s="2"/>
      <c r="I652" s="2"/>
      <c r="J652" s="3"/>
      <c r="K652" s="3"/>
      <c r="L652" s="3"/>
      <c r="M652" s="3"/>
      <c r="N652" s="3"/>
      <c r="O652" s="3"/>
      <c r="P652" s="3"/>
      <c r="Q652" s="3"/>
      <c r="R652" s="3"/>
      <c r="S652" s="2"/>
      <c r="T652" s="2"/>
      <c r="U652" s="2"/>
      <c r="V652" s="2"/>
      <c r="W652" s="2"/>
      <c r="X652" s="2"/>
      <c r="Y652" s="3"/>
      <c r="Z652" s="3"/>
      <c r="AA652" s="2"/>
      <c r="AB652" s="2"/>
      <c r="AC652" s="2"/>
      <c r="AD652" s="2"/>
      <c r="AE652" s="2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4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</row>
    <row r="653" ht="15.75">
      <c r="A653" s="3"/>
      <c r="B653" s="2"/>
      <c r="C653" s="2"/>
      <c r="D653" s="2"/>
      <c r="E653" s="2"/>
      <c r="F653" s="2"/>
      <c r="G653" s="2"/>
      <c r="H653" s="2"/>
      <c r="I653" s="2"/>
      <c r="J653" s="3"/>
      <c r="K653" s="3"/>
      <c r="L653" s="3"/>
      <c r="M653" s="3"/>
      <c r="N653" s="3"/>
      <c r="O653" s="3"/>
      <c r="P653" s="3"/>
      <c r="Q653" s="3"/>
      <c r="R653" s="3"/>
      <c r="S653" s="2"/>
      <c r="T653" s="2"/>
      <c r="U653" s="2"/>
      <c r="V653" s="2"/>
      <c r="W653" s="2"/>
      <c r="X653" s="2"/>
      <c r="Y653" s="3"/>
      <c r="Z653" s="3"/>
      <c r="AA653" s="2"/>
      <c r="AB653" s="2"/>
      <c r="AC653" s="2"/>
      <c r="AD653" s="2"/>
      <c r="AE653" s="2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4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</row>
    <row r="654" ht="15.75">
      <c r="A654" s="3"/>
      <c r="B654" s="2"/>
      <c r="C654" s="2"/>
      <c r="D654" s="2"/>
      <c r="E654" s="2"/>
      <c r="F654" s="2"/>
      <c r="G654" s="2"/>
      <c r="H654" s="2"/>
      <c r="I654" s="2"/>
      <c r="J654" s="3"/>
      <c r="K654" s="3"/>
      <c r="L654" s="3"/>
      <c r="M654" s="3"/>
      <c r="N654" s="3"/>
      <c r="O654" s="3"/>
      <c r="P654" s="3"/>
      <c r="Q654" s="3"/>
      <c r="R654" s="3"/>
      <c r="S654" s="2"/>
      <c r="T654" s="2"/>
      <c r="U654" s="2"/>
      <c r="V654" s="2"/>
      <c r="W654" s="2"/>
      <c r="X654" s="2"/>
      <c r="Y654" s="3"/>
      <c r="Z654" s="3"/>
      <c r="AA654" s="2"/>
      <c r="AB654" s="2"/>
      <c r="AC654" s="2"/>
      <c r="AD654" s="2"/>
      <c r="AE654" s="2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4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</row>
    <row r="655" ht="15.75">
      <c r="A655" s="3"/>
      <c r="B655" s="2"/>
      <c r="C655" s="2"/>
      <c r="D655" s="2"/>
      <c r="E655" s="2"/>
      <c r="F655" s="2"/>
      <c r="G655" s="2"/>
      <c r="H655" s="2"/>
      <c r="I655" s="2"/>
      <c r="J655" s="3"/>
      <c r="K655" s="3"/>
      <c r="L655" s="3"/>
      <c r="M655" s="3"/>
      <c r="N655" s="3"/>
      <c r="O655" s="3"/>
      <c r="P655" s="3"/>
      <c r="Q655" s="3"/>
      <c r="R655" s="3"/>
      <c r="S655" s="2"/>
      <c r="T655" s="2"/>
      <c r="U655" s="2"/>
      <c r="V655" s="2"/>
      <c r="W655" s="2"/>
      <c r="X655" s="2"/>
      <c r="Y655" s="3"/>
      <c r="Z655" s="3"/>
      <c r="AA655" s="2"/>
      <c r="AB655" s="2"/>
      <c r="AC655" s="2"/>
      <c r="AD655" s="2"/>
      <c r="AE655" s="2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4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</row>
    <row r="656" ht="15.75">
      <c r="A656" s="3"/>
      <c r="B656" s="2"/>
      <c r="C656" s="2"/>
      <c r="D656" s="2"/>
      <c r="E656" s="2"/>
      <c r="F656" s="2"/>
      <c r="G656" s="2"/>
      <c r="H656" s="2"/>
      <c r="I656" s="2"/>
      <c r="J656" s="3"/>
      <c r="K656" s="3"/>
      <c r="L656" s="3"/>
      <c r="M656" s="3"/>
      <c r="N656" s="3"/>
      <c r="O656" s="3"/>
      <c r="P656" s="3"/>
      <c r="Q656" s="3"/>
      <c r="R656" s="3"/>
      <c r="S656" s="2"/>
      <c r="T656" s="2"/>
      <c r="U656" s="2"/>
      <c r="V656" s="2"/>
      <c r="W656" s="2"/>
      <c r="X656" s="2"/>
      <c r="Y656" s="3"/>
      <c r="Z656" s="3"/>
      <c r="AA656" s="2"/>
      <c r="AB656" s="2"/>
      <c r="AC656" s="2"/>
      <c r="AD656" s="2"/>
      <c r="AE656" s="2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4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</row>
    <row r="657" ht="15.75">
      <c r="A657" s="3"/>
      <c r="B657" s="2"/>
      <c r="C657" s="2"/>
      <c r="D657" s="2"/>
      <c r="E657" s="2"/>
      <c r="F657" s="2"/>
      <c r="G657" s="2"/>
      <c r="H657" s="2"/>
      <c r="I657" s="2"/>
      <c r="J657" s="3"/>
      <c r="K657" s="3"/>
      <c r="L657" s="3"/>
      <c r="M657" s="3"/>
      <c r="N657" s="3"/>
      <c r="O657" s="3"/>
      <c r="P657" s="3"/>
      <c r="Q657" s="3"/>
      <c r="R657" s="3"/>
      <c r="S657" s="2"/>
      <c r="T657" s="2"/>
      <c r="U657" s="2"/>
      <c r="V657" s="2"/>
      <c r="W657" s="2"/>
      <c r="X657" s="2"/>
      <c r="Y657" s="3"/>
      <c r="Z657" s="3"/>
      <c r="AA657" s="2"/>
      <c r="AB657" s="2"/>
      <c r="AC657" s="2"/>
      <c r="AD657" s="2"/>
      <c r="AE657" s="2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4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</row>
    <row r="658" ht="15.75">
      <c r="A658" s="3"/>
      <c r="B658" s="2"/>
      <c r="C658" s="2"/>
      <c r="D658" s="2"/>
      <c r="E658" s="2"/>
      <c r="F658" s="2"/>
      <c r="G658" s="2"/>
      <c r="H658" s="2"/>
      <c r="I658" s="2"/>
      <c r="J658" s="3"/>
      <c r="K658" s="3"/>
      <c r="L658" s="3"/>
      <c r="M658" s="3"/>
      <c r="N658" s="3"/>
      <c r="O658" s="3"/>
      <c r="P658" s="3"/>
      <c r="Q658" s="3"/>
      <c r="R658" s="3"/>
      <c r="S658" s="2"/>
      <c r="T658" s="2"/>
      <c r="U658" s="2"/>
      <c r="V658" s="2"/>
      <c r="W658" s="2"/>
      <c r="X658" s="2"/>
      <c r="Y658" s="3"/>
      <c r="Z658" s="3"/>
      <c r="AA658" s="2"/>
      <c r="AB658" s="2"/>
      <c r="AC658" s="2"/>
      <c r="AD658" s="2"/>
      <c r="AE658" s="2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4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</row>
    <row r="659" ht="15.75">
      <c r="A659" s="3"/>
      <c r="B659" s="2"/>
      <c r="C659" s="2"/>
      <c r="D659" s="2"/>
      <c r="E659" s="2"/>
      <c r="F659" s="2"/>
      <c r="G659" s="2"/>
      <c r="H659" s="2"/>
      <c r="I659" s="2"/>
      <c r="J659" s="3"/>
      <c r="K659" s="3"/>
      <c r="L659" s="3"/>
      <c r="M659" s="3"/>
      <c r="N659" s="3"/>
      <c r="O659" s="3"/>
      <c r="P659" s="3"/>
      <c r="Q659" s="3"/>
      <c r="R659" s="3"/>
      <c r="S659" s="2"/>
      <c r="T659" s="2"/>
      <c r="U659" s="2"/>
      <c r="V659" s="2"/>
      <c r="W659" s="2"/>
      <c r="X659" s="2"/>
      <c r="Y659" s="3"/>
      <c r="Z659" s="3"/>
      <c r="AA659" s="2"/>
      <c r="AB659" s="2"/>
      <c r="AC659" s="2"/>
      <c r="AD659" s="2"/>
      <c r="AE659" s="2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4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</row>
    <row r="660" ht="15.75">
      <c r="A660" s="3"/>
      <c r="B660" s="2"/>
      <c r="C660" s="2"/>
      <c r="D660" s="2"/>
      <c r="E660" s="2"/>
      <c r="F660" s="2"/>
      <c r="G660" s="2"/>
      <c r="H660" s="2"/>
      <c r="I660" s="2"/>
      <c r="J660" s="3"/>
      <c r="K660" s="3"/>
      <c r="L660" s="3"/>
      <c r="M660" s="3"/>
      <c r="N660" s="3"/>
      <c r="O660" s="3"/>
      <c r="P660" s="3"/>
      <c r="Q660" s="3"/>
      <c r="R660" s="3"/>
      <c r="S660" s="2"/>
      <c r="T660" s="2"/>
      <c r="U660" s="2"/>
      <c r="V660" s="2"/>
      <c r="W660" s="2"/>
      <c r="X660" s="2"/>
      <c r="Y660" s="3"/>
      <c r="Z660" s="3"/>
      <c r="AA660" s="2"/>
      <c r="AB660" s="2"/>
      <c r="AC660" s="2"/>
      <c r="AD660" s="2"/>
      <c r="AE660" s="2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4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</row>
    <row r="661" ht="15.75">
      <c r="A661" s="3"/>
      <c r="B661" s="2"/>
      <c r="C661" s="2"/>
      <c r="D661" s="2"/>
      <c r="E661" s="2"/>
      <c r="F661" s="2"/>
      <c r="G661" s="2"/>
      <c r="H661" s="2"/>
      <c r="I661" s="2"/>
      <c r="J661" s="3"/>
      <c r="K661" s="3"/>
      <c r="L661" s="3"/>
      <c r="M661" s="3"/>
      <c r="N661" s="3"/>
      <c r="O661" s="3"/>
      <c r="P661" s="3"/>
      <c r="Q661" s="3"/>
      <c r="R661" s="3"/>
      <c r="S661" s="2"/>
      <c r="T661" s="2"/>
      <c r="U661" s="2"/>
      <c r="V661" s="2"/>
      <c r="W661" s="2"/>
      <c r="X661" s="2"/>
      <c r="Y661" s="3"/>
      <c r="Z661" s="3"/>
      <c r="AA661" s="2"/>
      <c r="AB661" s="2"/>
      <c r="AC661" s="2"/>
      <c r="AD661" s="2"/>
      <c r="AE661" s="2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4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</row>
    <row r="662" ht="15.75">
      <c r="A662" s="3"/>
      <c r="B662" s="2"/>
      <c r="C662" s="2"/>
      <c r="D662" s="2"/>
      <c r="E662" s="2"/>
      <c r="F662" s="2"/>
      <c r="G662" s="2"/>
      <c r="H662" s="2"/>
      <c r="I662" s="2"/>
      <c r="J662" s="3"/>
      <c r="K662" s="3"/>
      <c r="L662" s="3"/>
      <c r="M662" s="3"/>
      <c r="N662" s="3"/>
      <c r="O662" s="3"/>
      <c r="P662" s="3"/>
      <c r="Q662" s="3"/>
      <c r="R662" s="3"/>
      <c r="S662" s="2"/>
      <c r="T662" s="2"/>
      <c r="U662" s="2"/>
      <c r="V662" s="2"/>
      <c r="W662" s="2"/>
      <c r="X662" s="2"/>
      <c r="Y662" s="3"/>
      <c r="Z662" s="3"/>
      <c r="AA662" s="2"/>
      <c r="AB662" s="2"/>
      <c r="AC662" s="2"/>
      <c r="AD662" s="2"/>
      <c r="AE662" s="2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4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</row>
    <row r="663" ht="15.75">
      <c r="A663" s="3"/>
      <c r="B663" s="2"/>
      <c r="C663" s="2"/>
      <c r="D663" s="2"/>
      <c r="E663" s="2"/>
      <c r="F663" s="2"/>
      <c r="G663" s="2"/>
      <c r="H663" s="2"/>
      <c r="I663" s="2"/>
      <c r="J663" s="3"/>
      <c r="K663" s="3"/>
      <c r="L663" s="3"/>
      <c r="M663" s="3"/>
      <c r="N663" s="3"/>
      <c r="O663" s="3"/>
      <c r="P663" s="3"/>
      <c r="Q663" s="3"/>
      <c r="R663" s="3"/>
      <c r="S663" s="2"/>
      <c r="T663" s="2"/>
      <c r="U663" s="2"/>
      <c r="V663" s="2"/>
      <c r="W663" s="2"/>
      <c r="X663" s="2"/>
      <c r="Y663" s="3"/>
      <c r="Z663" s="3"/>
      <c r="AA663" s="2"/>
      <c r="AB663" s="2"/>
      <c r="AC663" s="2"/>
      <c r="AD663" s="2"/>
      <c r="AE663" s="2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4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</row>
    <row r="664" ht="15.75">
      <c r="A664" s="3"/>
      <c r="B664" s="2"/>
      <c r="C664" s="2"/>
      <c r="D664" s="2"/>
      <c r="E664" s="2"/>
      <c r="F664" s="2"/>
      <c r="G664" s="2"/>
      <c r="H664" s="2"/>
      <c r="I664" s="2"/>
      <c r="J664" s="3"/>
      <c r="K664" s="3"/>
      <c r="L664" s="3"/>
      <c r="M664" s="3"/>
      <c r="N664" s="3"/>
      <c r="O664" s="3"/>
      <c r="P664" s="3"/>
      <c r="Q664" s="3"/>
      <c r="R664" s="3"/>
      <c r="S664" s="2"/>
      <c r="T664" s="2"/>
      <c r="U664" s="2"/>
      <c r="V664" s="2"/>
      <c r="W664" s="2"/>
      <c r="X664" s="2"/>
      <c r="Y664" s="3"/>
      <c r="Z664" s="3"/>
      <c r="AA664" s="2"/>
      <c r="AB664" s="2"/>
      <c r="AC664" s="2"/>
      <c r="AD664" s="2"/>
      <c r="AE664" s="2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4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</row>
    <row r="665" ht="15.75">
      <c r="A665" s="3"/>
      <c r="B665" s="2"/>
      <c r="C665" s="2"/>
      <c r="D665" s="2"/>
      <c r="E665" s="2"/>
      <c r="F665" s="2"/>
      <c r="G665" s="2"/>
      <c r="H665" s="2"/>
      <c r="I665" s="2"/>
      <c r="J665" s="3"/>
      <c r="K665" s="3"/>
      <c r="L665" s="3"/>
      <c r="M665" s="3"/>
      <c r="N665" s="3"/>
      <c r="O665" s="3"/>
      <c r="P665" s="3"/>
      <c r="Q665" s="3"/>
      <c r="R665" s="3"/>
      <c r="S665" s="2"/>
      <c r="T665" s="2"/>
      <c r="U665" s="2"/>
      <c r="V665" s="2"/>
      <c r="W665" s="2"/>
      <c r="X665" s="2"/>
      <c r="Y665" s="3"/>
      <c r="Z665" s="3"/>
      <c r="AA665" s="2"/>
      <c r="AB665" s="2"/>
      <c r="AC665" s="2"/>
      <c r="AD665" s="2"/>
      <c r="AE665" s="2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4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</row>
    <row r="666" ht="15.75">
      <c r="A666" s="3"/>
      <c r="B666" s="2"/>
      <c r="C666" s="2"/>
      <c r="D666" s="2"/>
      <c r="E666" s="2"/>
      <c r="F666" s="2"/>
      <c r="G666" s="2"/>
      <c r="H666" s="2"/>
      <c r="I666" s="2"/>
      <c r="J666" s="3"/>
      <c r="K666" s="3"/>
      <c r="L666" s="3"/>
      <c r="M666" s="3"/>
      <c r="N666" s="3"/>
      <c r="O666" s="3"/>
      <c r="P666" s="3"/>
      <c r="Q666" s="3"/>
      <c r="R666" s="3"/>
      <c r="S666" s="2"/>
      <c r="T666" s="2"/>
      <c r="U666" s="2"/>
      <c r="V666" s="2"/>
      <c r="W666" s="2"/>
      <c r="X666" s="2"/>
      <c r="Y666" s="3"/>
      <c r="Z666" s="3"/>
      <c r="AA666" s="2"/>
      <c r="AB666" s="2"/>
      <c r="AC666" s="2"/>
      <c r="AD666" s="2"/>
      <c r="AE666" s="2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4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</row>
    <row r="667" ht="15.75">
      <c r="A667" s="3"/>
      <c r="B667" s="2"/>
      <c r="C667" s="2"/>
      <c r="D667" s="2"/>
      <c r="E667" s="2"/>
      <c r="F667" s="2"/>
      <c r="G667" s="2"/>
      <c r="H667" s="2"/>
      <c r="I667" s="2"/>
      <c r="J667" s="3"/>
      <c r="K667" s="3"/>
      <c r="L667" s="3"/>
      <c r="M667" s="3"/>
      <c r="N667" s="3"/>
      <c r="O667" s="3"/>
      <c r="P667" s="3"/>
      <c r="Q667" s="3"/>
      <c r="R667" s="3"/>
      <c r="S667" s="2"/>
      <c r="T667" s="2"/>
      <c r="U667" s="2"/>
      <c r="V667" s="2"/>
      <c r="W667" s="2"/>
      <c r="X667" s="2"/>
      <c r="Y667" s="3"/>
      <c r="Z667" s="3"/>
      <c r="AA667" s="2"/>
      <c r="AB667" s="2"/>
      <c r="AC667" s="2"/>
      <c r="AD667" s="2"/>
      <c r="AE667" s="2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4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</row>
    <row r="668" ht="15.75">
      <c r="A668" s="3"/>
      <c r="B668" s="2"/>
      <c r="C668" s="2"/>
      <c r="D668" s="2"/>
      <c r="E668" s="2"/>
      <c r="F668" s="2"/>
      <c r="G668" s="2"/>
      <c r="H668" s="2"/>
      <c r="I668" s="2"/>
      <c r="J668" s="3"/>
      <c r="K668" s="3"/>
      <c r="L668" s="3"/>
      <c r="M668" s="3"/>
      <c r="N668" s="3"/>
      <c r="O668" s="3"/>
      <c r="P668" s="3"/>
      <c r="Q668" s="3"/>
      <c r="R668" s="3"/>
      <c r="S668" s="2"/>
      <c r="T668" s="2"/>
      <c r="U668" s="2"/>
      <c r="V668" s="2"/>
      <c r="W668" s="2"/>
      <c r="X668" s="2"/>
      <c r="Y668" s="3"/>
      <c r="Z668" s="3"/>
      <c r="AA668" s="2"/>
      <c r="AB668" s="2"/>
      <c r="AC668" s="2"/>
      <c r="AD668" s="2"/>
      <c r="AE668" s="2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4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</row>
    <row r="669" ht="15.75">
      <c r="A669" s="3"/>
      <c r="B669" s="2"/>
      <c r="C669" s="2"/>
      <c r="D669" s="2"/>
      <c r="E669" s="2"/>
      <c r="F669" s="2"/>
      <c r="G669" s="2"/>
      <c r="H669" s="2"/>
      <c r="I669" s="2"/>
      <c r="J669" s="3"/>
      <c r="K669" s="3"/>
      <c r="L669" s="3"/>
      <c r="M669" s="3"/>
      <c r="N669" s="3"/>
      <c r="O669" s="3"/>
      <c r="P669" s="3"/>
      <c r="Q669" s="3"/>
      <c r="R669" s="3"/>
      <c r="S669" s="2"/>
      <c r="T669" s="2"/>
      <c r="U669" s="2"/>
      <c r="V669" s="2"/>
      <c r="W669" s="2"/>
      <c r="X669" s="2"/>
      <c r="Y669" s="3"/>
      <c r="Z669" s="3"/>
      <c r="AA669" s="2"/>
      <c r="AB669" s="2"/>
      <c r="AC669" s="2"/>
      <c r="AD669" s="2"/>
      <c r="AE669" s="2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4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</row>
    <row r="670" ht="15.75">
      <c r="A670" s="3"/>
      <c r="B670" s="2"/>
      <c r="C670" s="2"/>
      <c r="D670" s="2"/>
      <c r="E670" s="2"/>
      <c r="F670" s="2"/>
      <c r="G670" s="2"/>
      <c r="H670" s="2"/>
      <c r="I670" s="2"/>
      <c r="J670" s="3"/>
      <c r="K670" s="3"/>
      <c r="L670" s="3"/>
      <c r="M670" s="3"/>
      <c r="N670" s="3"/>
      <c r="O670" s="3"/>
      <c r="P670" s="3"/>
      <c r="Q670" s="3"/>
      <c r="R670" s="3"/>
      <c r="S670" s="2"/>
      <c r="T670" s="2"/>
      <c r="U670" s="2"/>
      <c r="V670" s="2"/>
      <c r="W670" s="2"/>
      <c r="X670" s="2"/>
      <c r="Y670" s="3"/>
      <c r="Z670" s="3"/>
      <c r="AA670" s="2"/>
      <c r="AB670" s="2"/>
      <c r="AC670" s="2"/>
      <c r="AD670" s="2"/>
      <c r="AE670" s="2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4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</row>
    <row r="671" ht="15.75">
      <c r="A671" s="3"/>
      <c r="B671" s="2"/>
      <c r="C671" s="2"/>
      <c r="D671" s="2"/>
      <c r="E671" s="2"/>
      <c r="F671" s="2"/>
      <c r="G671" s="2"/>
      <c r="H671" s="2"/>
      <c r="I671" s="2"/>
      <c r="J671" s="3"/>
      <c r="K671" s="3"/>
      <c r="L671" s="3"/>
      <c r="M671" s="3"/>
      <c r="N671" s="3"/>
      <c r="O671" s="3"/>
      <c r="P671" s="3"/>
      <c r="Q671" s="3"/>
      <c r="R671" s="3"/>
      <c r="S671" s="2"/>
      <c r="T671" s="2"/>
      <c r="U671" s="2"/>
      <c r="V671" s="2"/>
      <c r="W671" s="2"/>
      <c r="X671" s="2"/>
      <c r="Y671" s="3"/>
      <c r="Z671" s="3"/>
      <c r="AA671" s="2"/>
      <c r="AB671" s="2"/>
      <c r="AC671" s="2"/>
      <c r="AD671" s="2"/>
      <c r="AE671" s="2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4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</row>
    <row r="672" ht="15.75">
      <c r="A672" s="3"/>
      <c r="B672" s="2"/>
      <c r="C672" s="2"/>
      <c r="D672" s="2"/>
      <c r="E672" s="2"/>
      <c r="F672" s="2"/>
      <c r="G672" s="2"/>
      <c r="H672" s="2"/>
      <c r="I672" s="2"/>
      <c r="J672" s="3"/>
      <c r="K672" s="3"/>
      <c r="L672" s="3"/>
      <c r="M672" s="3"/>
      <c r="N672" s="3"/>
      <c r="O672" s="3"/>
      <c r="P672" s="3"/>
      <c r="Q672" s="3"/>
      <c r="R672" s="3"/>
      <c r="S672" s="2"/>
      <c r="T672" s="2"/>
      <c r="U672" s="2"/>
      <c r="V672" s="2"/>
      <c r="W672" s="2"/>
      <c r="X672" s="2"/>
      <c r="Y672" s="3"/>
      <c r="Z672" s="3"/>
      <c r="AA672" s="2"/>
      <c r="AB672" s="2"/>
      <c r="AC672" s="2"/>
      <c r="AD672" s="2"/>
      <c r="AE672" s="2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4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</row>
    <row r="673" ht="15.75">
      <c r="A673" s="3"/>
      <c r="B673" s="2"/>
      <c r="C673" s="2"/>
      <c r="D673" s="2"/>
      <c r="E673" s="2"/>
      <c r="F673" s="2"/>
      <c r="G673" s="2"/>
      <c r="H673" s="2"/>
      <c r="I673" s="2"/>
      <c r="J673" s="3"/>
      <c r="K673" s="3"/>
      <c r="L673" s="3"/>
      <c r="M673" s="3"/>
      <c r="N673" s="3"/>
      <c r="O673" s="3"/>
      <c r="P673" s="3"/>
      <c r="Q673" s="3"/>
      <c r="R673" s="3"/>
      <c r="S673" s="2"/>
      <c r="T673" s="2"/>
      <c r="U673" s="2"/>
      <c r="V673" s="2"/>
      <c r="W673" s="2"/>
      <c r="X673" s="2"/>
      <c r="Y673" s="3"/>
      <c r="Z673" s="3"/>
      <c r="AA673" s="2"/>
      <c r="AB673" s="2"/>
      <c r="AC673" s="2"/>
      <c r="AD673" s="2"/>
      <c r="AE673" s="2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4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</row>
    <row r="674" ht="15.75">
      <c r="A674" s="3"/>
      <c r="B674" s="2"/>
      <c r="C674" s="2"/>
      <c r="D674" s="2"/>
      <c r="E674" s="2"/>
      <c r="F674" s="2"/>
      <c r="G674" s="2"/>
      <c r="H674" s="2"/>
      <c r="I674" s="2"/>
      <c r="J674" s="3"/>
      <c r="K674" s="3"/>
      <c r="L674" s="3"/>
      <c r="M674" s="3"/>
      <c r="N674" s="3"/>
      <c r="O674" s="3"/>
      <c r="P674" s="3"/>
      <c r="Q674" s="3"/>
      <c r="R674" s="3"/>
      <c r="S674" s="2"/>
      <c r="T674" s="2"/>
      <c r="U674" s="2"/>
      <c r="V674" s="2"/>
      <c r="W674" s="2"/>
      <c r="X674" s="2"/>
      <c r="Y674" s="3"/>
      <c r="Z674" s="3"/>
      <c r="AA674" s="2"/>
      <c r="AB674" s="2"/>
      <c r="AC674" s="2"/>
      <c r="AD674" s="2"/>
      <c r="AE674" s="2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4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</row>
    <row r="675" ht="15.75">
      <c r="A675" s="3"/>
      <c r="B675" s="2"/>
      <c r="C675" s="2"/>
      <c r="D675" s="2"/>
      <c r="E675" s="2"/>
      <c r="F675" s="2"/>
      <c r="G675" s="2"/>
      <c r="H675" s="2"/>
      <c r="I675" s="2"/>
      <c r="J675" s="3"/>
      <c r="K675" s="3"/>
      <c r="L675" s="3"/>
      <c r="M675" s="3"/>
      <c r="N675" s="3"/>
      <c r="O675" s="3"/>
      <c r="P675" s="3"/>
      <c r="Q675" s="3"/>
      <c r="R675" s="3"/>
      <c r="S675" s="2"/>
      <c r="T675" s="2"/>
      <c r="U675" s="2"/>
      <c r="V675" s="2"/>
      <c r="W675" s="2"/>
      <c r="X675" s="2"/>
      <c r="Y675" s="3"/>
      <c r="Z675" s="3"/>
      <c r="AA675" s="2"/>
      <c r="AB675" s="2"/>
      <c r="AC675" s="2"/>
      <c r="AD675" s="2"/>
      <c r="AE675" s="2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4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</row>
    <row r="676" ht="15.75">
      <c r="A676" s="3"/>
      <c r="B676" s="2"/>
      <c r="C676" s="2"/>
      <c r="D676" s="2"/>
      <c r="E676" s="2"/>
      <c r="F676" s="2"/>
      <c r="G676" s="2"/>
      <c r="H676" s="2"/>
      <c r="I676" s="2"/>
      <c r="J676" s="3"/>
      <c r="K676" s="3"/>
      <c r="L676" s="3"/>
      <c r="M676" s="3"/>
      <c r="N676" s="3"/>
      <c r="O676" s="3"/>
      <c r="P676" s="3"/>
      <c r="Q676" s="3"/>
      <c r="R676" s="3"/>
      <c r="S676" s="2"/>
      <c r="T676" s="2"/>
      <c r="U676" s="2"/>
      <c r="V676" s="2"/>
      <c r="W676" s="2"/>
      <c r="X676" s="2"/>
      <c r="Y676" s="3"/>
      <c r="Z676" s="3"/>
      <c r="AA676" s="2"/>
      <c r="AB676" s="2"/>
      <c r="AC676" s="2"/>
      <c r="AD676" s="2"/>
      <c r="AE676" s="2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4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</row>
    <row r="677" ht="15.75">
      <c r="A677" s="3"/>
      <c r="B677" s="2"/>
      <c r="C677" s="2"/>
      <c r="D677" s="2"/>
      <c r="E677" s="2"/>
      <c r="F677" s="2"/>
      <c r="G677" s="2"/>
      <c r="H677" s="2"/>
      <c r="I677" s="2"/>
      <c r="J677" s="3"/>
      <c r="K677" s="3"/>
      <c r="L677" s="3"/>
      <c r="M677" s="3"/>
      <c r="N677" s="3"/>
      <c r="O677" s="3"/>
      <c r="P677" s="3"/>
      <c r="Q677" s="3"/>
      <c r="R677" s="3"/>
      <c r="S677" s="2"/>
      <c r="T677" s="2"/>
      <c r="U677" s="2"/>
      <c r="V677" s="2"/>
      <c r="W677" s="2"/>
      <c r="X677" s="2"/>
      <c r="Y677" s="3"/>
      <c r="Z677" s="3"/>
      <c r="AA677" s="2"/>
      <c r="AB677" s="2"/>
      <c r="AC677" s="2"/>
      <c r="AD677" s="2"/>
      <c r="AE677" s="2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4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</row>
    <row r="678" ht="15.75">
      <c r="A678" s="3"/>
      <c r="B678" s="2"/>
      <c r="C678" s="2"/>
      <c r="D678" s="2"/>
      <c r="E678" s="2"/>
      <c r="F678" s="2"/>
      <c r="G678" s="2"/>
      <c r="H678" s="2"/>
      <c r="I678" s="2"/>
      <c r="J678" s="3"/>
      <c r="K678" s="3"/>
      <c r="L678" s="3"/>
      <c r="M678" s="3"/>
      <c r="N678" s="3"/>
      <c r="O678" s="3"/>
      <c r="P678" s="3"/>
      <c r="Q678" s="3"/>
      <c r="R678" s="3"/>
      <c r="S678" s="2"/>
      <c r="T678" s="2"/>
      <c r="U678" s="2"/>
      <c r="V678" s="2"/>
      <c r="W678" s="2"/>
      <c r="X678" s="2"/>
      <c r="Y678" s="3"/>
      <c r="Z678" s="3"/>
      <c r="AA678" s="2"/>
      <c r="AB678" s="2"/>
      <c r="AC678" s="2"/>
      <c r="AD678" s="2"/>
      <c r="AE678" s="2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4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</row>
    <row r="679" ht="15.75">
      <c r="A679" s="3"/>
      <c r="B679" s="2"/>
      <c r="C679" s="2"/>
      <c r="D679" s="2"/>
      <c r="E679" s="2"/>
      <c r="F679" s="2"/>
      <c r="G679" s="2"/>
      <c r="H679" s="2"/>
      <c r="I679" s="2"/>
      <c r="J679" s="3"/>
      <c r="K679" s="3"/>
      <c r="L679" s="3"/>
      <c r="M679" s="3"/>
      <c r="N679" s="3"/>
      <c r="O679" s="3"/>
      <c r="P679" s="3"/>
      <c r="Q679" s="3"/>
      <c r="R679" s="3"/>
      <c r="S679" s="2"/>
      <c r="T679" s="2"/>
      <c r="U679" s="2"/>
      <c r="V679" s="2"/>
      <c r="W679" s="2"/>
      <c r="X679" s="2"/>
      <c r="Y679" s="3"/>
      <c r="Z679" s="3"/>
      <c r="AA679" s="2"/>
      <c r="AB679" s="2"/>
      <c r="AC679" s="2"/>
      <c r="AD679" s="2"/>
      <c r="AE679" s="2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4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</row>
    <row r="680" ht="15.75">
      <c r="A680" s="3"/>
      <c r="B680" s="2"/>
      <c r="C680" s="2"/>
      <c r="D680" s="2"/>
      <c r="E680" s="2"/>
      <c r="F680" s="2"/>
      <c r="G680" s="2"/>
      <c r="H680" s="2"/>
      <c r="I680" s="2"/>
      <c r="J680" s="3"/>
      <c r="K680" s="3"/>
      <c r="L680" s="3"/>
      <c r="M680" s="3"/>
      <c r="N680" s="3"/>
      <c r="O680" s="3"/>
      <c r="P680" s="3"/>
      <c r="Q680" s="3"/>
      <c r="R680" s="3"/>
      <c r="S680" s="2"/>
      <c r="T680" s="2"/>
      <c r="U680" s="2"/>
      <c r="V680" s="2"/>
      <c r="W680" s="2"/>
      <c r="X680" s="2"/>
      <c r="Y680" s="3"/>
      <c r="Z680" s="3"/>
      <c r="AA680" s="2"/>
      <c r="AB680" s="2"/>
      <c r="AC680" s="2"/>
      <c r="AD680" s="2"/>
      <c r="AE680" s="2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4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</row>
    <row r="681" ht="15.75">
      <c r="A681" s="3"/>
      <c r="B681" s="2"/>
      <c r="C681" s="2"/>
      <c r="D681" s="2"/>
      <c r="E681" s="2"/>
      <c r="F681" s="2"/>
      <c r="G681" s="2"/>
      <c r="H681" s="2"/>
      <c r="I681" s="2"/>
      <c r="J681" s="3"/>
      <c r="K681" s="3"/>
      <c r="L681" s="3"/>
      <c r="M681" s="3"/>
      <c r="N681" s="3"/>
      <c r="O681" s="3"/>
      <c r="P681" s="3"/>
      <c r="Q681" s="3"/>
      <c r="R681" s="3"/>
      <c r="S681" s="2"/>
      <c r="T681" s="2"/>
      <c r="U681" s="2"/>
      <c r="V681" s="2"/>
      <c r="W681" s="2"/>
      <c r="X681" s="2"/>
      <c r="Y681" s="3"/>
      <c r="Z681" s="3"/>
      <c r="AA681" s="2"/>
      <c r="AB681" s="2"/>
      <c r="AC681" s="2"/>
      <c r="AD681" s="2"/>
      <c r="AE681" s="2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4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</row>
    <row r="682" ht="15.75">
      <c r="A682" s="3"/>
      <c r="B682" s="2"/>
      <c r="C682" s="2"/>
      <c r="D682" s="2"/>
      <c r="E682" s="2"/>
      <c r="F682" s="2"/>
      <c r="G682" s="2"/>
      <c r="H682" s="2"/>
      <c r="I682" s="2"/>
      <c r="J682" s="3"/>
      <c r="K682" s="3"/>
      <c r="L682" s="3"/>
      <c r="M682" s="3"/>
      <c r="N682" s="3"/>
      <c r="O682" s="3"/>
      <c r="P682" s="3"/>
      <c r="Q682" s="3"/>
      <c r="R682" s="3"/>
      <c r="S682" s="2"/>
      <c r="T682" s="2"/>
      <c r="U682" s="2"/>
      <c r="V682" s="2"/>
      <c r="W682" s="2"/>
      <c r="X682" s="2"/>
      <c r="Y682" s="3"/>
      <c r="Z682" s="3"/>
      <c r="AA682" s="2"/>
      <c r="AB682" s="2"/>
      <c r="AC682" s="2"/>
      <c r="AD682" s="2"/>
      <c r="AE682" s="2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4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</row>
    <row r="683" ht="15.75">
      <c r="A683" s="3"/>
      <c r="B683" s="2"/>
      <c r="C683" s="2"/>
      <c r="D683" s="2"/>
      <c r="E683" s="2"/>
      <c r="F683" s="2"/>
      <c r="G683" s="2"/>
      <c r="H683" s="2"/>
      <c r="I683" s="2"/>
      <c r="J683" s="3"/>
      <c r="K683" s="3"/>
      <c r="L683" s="3"/>
      <c r="M683" s="3"/>
      <c r="N683" s="3"/>
      <c r="O683" s="3"/>
      <c r="P683" s="3"/>
      <c r="Q683" s="3"/>
      <c r="R683" s="3"/>
      <c r="S683" s="2"/>
      <c r="T683" s="2"/>
      <c r="U683" s="2"/>
      <c r="V683" s="2"/>
      <c r="W683" s="2"/>
      <c r="X683" s="2"/>
      <c r="Y683" s="3"/>
      <c r="Z683" s="3"/>
      <c r="AA683" s="2"/>
      <c r="AB683" s="2"/>
      <c r="AC683" s="2"/>
      <c r="AD683" s="2"/>
      <c r="AE683" s="2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4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</row>
    <row r="684" ht="15.75">
      <c r="A684" s="3"/>
      <c r="B684" s="2"/>
      <c r="C684" s="2"/>
      <c r="D684" s="2"/>
      <c r="E684" s="2"/>
      <c r="F684" s="2"/>
      <c r="G684" s="2"/>
      <c r="H684" s="2"/>
      <c r="I684" s="2"/>
      <c r="J684" s="3"/>
      <c r="K684" s="3"/>
      <c r="L684" s="3"/>
      <c r="M684" s="3"/>
      <c r="N684" s="3"/>
      <c r="O684" s="3"/>
      <c r="P684" s="3"/>
      <c r="Q684" s="3"/>
      <c r="R684" s="3"/>
      <c r="S684" s="2"/>
      <c r="T684" s="2"/>
      <c r="U684" s="2"/>
      <c r="V684" s="2"/>
      <c r="W684" s="2"/>
      <c r="X684" s="2"/>
      <c r="Y684" s="3"/>
      <c r="Z684" s="3"/>
      <c r="AA684" s="2"/>
      <c r="AB684" s="2"/>
      <c r="AC684" s="2"/>
      <c r="AD684" s="2"/>
      <c r="AE684" s="2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4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</row>
    <row r="685" ht="15.75">
      <c r="A685" s="3"/>
      <c r="B685" s="2"/>
      <c r="C685" s="2"/>
      <c r="D685" s="2"/>
      <c r="E685" s="2"/>
      <c r="F685" s="2"/>
      <c r="G685" s="2"/>
      <c r="H685" s="2"/>
      <c r="I685" s="2"/>
      <c r="J685" s="3"/>
      <c r="K685" s="3"/>
      <c r="L685" s="3"/>
      <c r="M685" s="3"/>
      <c r="N685" s="3"/>
      <c r="O685" s="3"/>
      <c r="P685" s="3"/>
      <c r="Q685" s="3"/>
      <c r="R685" s="3"/>
      <c r="S685" s="2"/>
      <c r="T685" s="2"/>
      <c r="U685" s="2"/>
      <c r="V685" s="2"/>
      <c r="W685" s="2"/>
      <c r="X685" s="2"/>
      <c r="Y685" s="3"/>
      <c r="Z685" s="3"/>
      <c r="AA685" s="2"/>
      <c r="AB685" s="2"/>
      <c r="AC685" s="2"/>
      <c r="AD685" s="2"/>
      <c r="AE685" s="2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4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</row>
    <row r="686" ht="15.75">
      <c r="A686" s="3"/>
      <c r="B686" s="2"/>
      <c r="C686" s="2"/>
      <c r="D686" s="2"/>
      <c r="E686" s="2"/>
      <c r="F686" s="2"/>
      <c r="G686" s="2"/>
      <c r="H686" s="2"/>
      <c r="I686" s="2"/>
      <c r="J686" s="3"/>
      <c r="K686" s="3"/>
      <c r="L686" s="3"/>
      <c r="M686" s="3"/>
      <c r="N686" s="3"/>
      <c r="O686" s="3"/>
      <c r="P686" s="3"/>
      <c r="Q686" s="3"/>
      <c r="R686" s="3"/>
      <c r="S686" s="2"/>
      <c r="T686" s="2"/>
      <c r="U686" s="2"/>
      <c r="V686" s="2"/>
      <c r="W686" s="2"/>
      <c r="X686" s="2"/>
      <c r="Y686" s="3"/>
      <c r="Z686" s="3"/>
      <c r="AA686" s="2"/>
      <c r="AB686" s="2"/>
      <c r="AC686" s="2"/>
      <c r="AD686" s="2"/>
      <c r="AE686" s="2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4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</row>
    <row r="687" ht="15.75">
      <c r="A687" s="3"/>
      <c r="B687" s="2"/>
      <c r="C687" s="2"/>
      <c r="D687" s="2"/>
      <c r="E687" s="2"/>
      <c r="F687" s="2"/>
      <c r="G687" s="2"/>
      <c r="H687" s="2"/>
      <c r="I687" s="2"/>
      <c r="J687" s="3"/>
      <c r="K687" s="3"/>
      <c r="L687" s="3"/>
      <c r="M687" s="3"/>
      <c r="N687" s="3"/>
      <c r="O687" s="3"/>
      <c r="P687" s="3"/>
      <c r="Q687" s="3"/>
      <c r="R687" s="3"/>
      <c r="S687" s="2"/>
      <c r="T687" s="2"/>
      <c r="U687" s="2"/>
      <c r="V687" s="2"/>
      <c r="W687" s="2"/>
      <c r="X687" s="2"/>
      <c r="Y687" s="3"/>
      <c r="Z687" s="3"/>
      <c r="AA687" s="2"/>
      <c r="AB687" s="2"/>
      <c r="AC687" s="2"/>
      <c r="AD687" s="2"/>
      <c r="AE687" s="2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4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</row>
    <row r="688" ht="15.75">
      <c r="A688" s="3"/>
      <c r="B688" s="2"/>
      <c r="C688" s="2"/>
      <c r="D688" s="2"/>
      <c r="E688" s="2"/>
      <c r="F688" s="2"/>
      <c r="G688" s="2"/>
      <c r="H688" s="2"/>
      <c r="I688" s="2"/>
      <c r="J688" s="3"/>
      <c r="K688" s="3"/>
      <c r="L688" s="3"/>
      <c r="M688" s="3"/>
      <c r="N688" s="3"/>
      <c r="O688" s="3"/>
      <c r="P688" s="3"/>
      <c r="Q688" s="3"/>
      <c r="R688" s="3"/>
      <c r="S688" s="2"/>
      <c r="T688" s="2"/>
      <c r="U688" s="2"/>
      <c r="V688" s="2"/>
      <c r="W688" s="2"/>
      <c r="X688" s="2"/>
      <c r="Y688" s="3"/>
      <c r="Z688" s="3"/>
      <c r="AA688" s="2"/>
      <c r="AB688" s="2"/>
      <c r="AC688" s="2"/>
      <c r="AD688" s="2"/>
      <c r="AE688" s="2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4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</row>
    <row r="689" ht="15.75">
      <c r="A689" s="3"/>
      <c r="B689" s="2"/>
      <c r="C689" s="2"/>
      <c r="D689" s="2"/>
      <c r="E689" s="2"/>
      <c r="F689" s="2"/>
      <c r="G689" s="2"/>
      <c r="H689" s="2"/>
      <c r="I689" s="2"/>
      <c r="J689" s="3"/>
      <c r="K689" s="3"/>
      <c r="L689" s="3"/>
      <c r="M689" s="3"/>
      <c r="N689" s="3"/>
      <c r="O689" s="3"/>
      <c r="P689" s="3"/>
      <c r="Q689" s="3"/>
      <c r="R689" s="3"/>
      <c r="S689" s="2"/>
      <c r="T689" s="2"/>
      <c r="U689" s="2"/>
      <c r="V689" s="2"/>
      <c r="W689" s="2"/>
      <c r="X689" s="2"/>
      <c r="Y689" s="3"/>
      <c r="Z689" s="3"/>
      <c r="AA689" s="2"/>
      <c r="AB689" s="2"/>
      <c r="AC689" s="2"/>
      <c r="AD689" s="2"/>
      <c r="AE689" s="2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4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</row>
    <row r="690" ht="15.75">
      <c r="A690" s="3"/>
      <c r="B690" s="2"/>
      <c r="C690" s="2"/>
      <c r="D690" s="2"/>
      <c r="E690" s="2"/>
      <c r="F690" s="2"/>
      <c r="G690" s="2"/>
      <c r="H690" s="2"/>
      <c r="I690" s="2"/>
      <c r="J690" s="3"/>
      <c r="K690" s="3"/>
      <c r="L690" s="3"/>
      <c r="M690" s="3"/>
      <c r="N690" s="3"/>
      <c r="O690" s="3"/>
      <c r="P690" s="3"/>
      <c r="Q690" s="3"/>
      <c r="R690" s="3"/>
      <c r="S690" s="2"/>
      <c r="T690" s="2"/>
      <c r="U690" s="2"/>
      <c r="V690" s="2"/>
      <c r="W690" s="2"/>
      <c r="X690" s="2"/>
      <c r="Y690" s="3"/>
      <c r="Z690" s="3"/>
      <c r="AA690" s="2"/>
      <c r="AB690" s="2"/>
      <c r="AC690" s="2"/>
      <c r="AD690" s="2"/>
      <c r="AE690" s="2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4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</row>
    <row r="691" ht="15.75">
      <c r="A691" s="3"/>
      <c r="B691" s="2"/>
      <c r="C691" s="2"/>
      <c r="D691" s="2"/>
      <c r="E691" s="2"/>
      <c r="F691" s="2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2"/>
      <c r="T691" s="2"/>
      <c r="U691" s="2"/>
      <c r="V691" s="2"/>
      <c r="W691" s="2"/>
      <c r="X691" s="2"/>
      <c r="Y691" s="3"/>
      <c r="Z691" s="3"/>
      <c r="AA691" s="2"/>
      <c r="AB691" s="2"/>
      <c r="AC691" s="2"/>
      <c r="AD691" s="2"/>
      <c r="AE691" s="2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4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</row>
    <row r="692" ht="15.75">
      <c r="A692" s="3"/>
      <c r="B692" s="2"/>
      <c r="C692" s="2"/>
      <c r="D692" s="2"/>
      <c r="E692" s="2"/>
      <c r="F692" s="2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2"/>
      <c r="T692" s="2"/>
      <c r="U692" s="2"/>
      <c r="V692" s="2"/>
      <c r="W692" s="2"/>
      <c r="X692" s="2"/>
      <c r="Y692" s="3"/>
      <c r="Z692" s="3"/>
      <c r="AA692" s="2"/>
      <c r="AB692" s="2"/>
      <c r="AC692" s="2"/>
      <c r="AD692" s="2"/>
      <c r="AE692" s="2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4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</row>
    <row r="693" ht="15.75">
      <c r="A693" s="3"/>
      <c r="B693" s="2"/>
      <c r="C693" s="2"/>
      <c r="D693" s="2"/>
      <c r="E693" s="2"/>
      <c r="F693" s="2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2"/>
      <c r="T693" s="2"/>
      <c r="U693" s="2"/>
      <c r="V693" s="2"/>
      <c r="W693" s="2"/>
      <c r="X693" s="2"/>
      <c r="Y693" s="3"/>
      <c r="Z693" s="3"/>
      <c r="AA693" s="2"/>
      <c r="AB693" s="2"/>
      <c r="AC693" s="2"/>
      <c r="AD693" s="2"/>
      <c r="AE693" s="2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4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</row>
    <row r="694" ht="15.75">
      <c r="A694" s="3"/>
      <c r="B694" s="2"/>
      <c r="C694" s="2"/>
      <c r="D694" s="2"/>
      <c r="E694" s="2"/>
      <c r="F694" s="2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2"/>
      <c r="T694" s="2"/>
      <c r="U694" s="2"/>
      <c r="V694" s="2"/>
      <c r="W694" s="2"/>
      <c r="X694" s="2"/>
      <c r="Y694" s="3"/>
      <c r="Z694" s="3"/>
      <c r="AA694" s="2"/>
      <c r="AB694" s="2"/>
      <c r="AC694" s="2"/>
      <c r="AD694" s="2"/>
      <c r="AE694" s="2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4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</row>
    <row r="695" ht="15.75">
      <c r="A695" s="3"/>
      <c r="B695" s="2"/>
      <c r="C695" s="2"/>
      <c r="D695" s="2"/>
      <c r="E695" s="2"/>
      <c r="F695" s="2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2"/>
      <c r="T695" s="2"/>
      <c r="U695" s="2"/>
      <c r="V695" s="2"/>
      <c r="W695" s="2"/>
      <c r="X695" s="2"/>
      <c r="Y695" s="3"/>
      <c r="Z695" s="3"/>
      <c r="AA695" s="2"/>
      <c r="AB695" s="2"/>
      <c r="AC695" s="2"/>
      <c r="AD695" s="2"/>
      <c r="AE695" s="2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4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</row>
    <row r="696" ht="15.75">
      <c r="A696" s="3"/>
      <c r="B696" s="2"/>
      <c r="C696" s="2"/>
      <c r="D696" s="2"/>
      <c r="E696" s="2"/>
      <c r="F696" s="2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2"/>
      <c r="T696" s="2"/>
      <c r="U696" s="2"/>
      <c r="V696" s="2"/>
      <c r="W696" s="2"/>
      <c r="X696" s="2"/>
      <c r="Y696" s="3"/>
      <c r="Z696" s="3"/>
      <c r="AA696" s="2"/>
      <c r="AB696" s="2"/>
      <c r="AC696" s="2"/>
      <c r="AD696" s="2"/>
      <c r="AE696" s="2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4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</row>
    <row r="697" ht="15.75">
      <c r="A697" s="3"/>
      <c r="B697" s="2"/>
      <c r="C697" s="2"/>
      <c r="D697" s="2"/>
      <c r="E697" s="2"/>
      <c r="F697" s="2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2"/>
      <c r="T697" s="2"/>
      <c r="U697" s="2"/>
      <c r="V697" s="2"/>
      <c r="W697" s="2"/>
      <c r="X697" s="2"/>
      <c r="Y697" s="3"/>
      <c r="Z697" s="3"/>
      <c r="AA697" s="2"/>
      <c r="AB697" s="2"/>
      <c r="AC697" s="2"/>
      <c r="AD697" s="2"/>
      <c r="AE697" s="2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4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</row>
    <row r="698" ht="15.75">
      <c r="A698" s="3"/>
      <c r="B698" s="2"/>
      <c r="C698" s="2"/>
      <c r="D698" s="2"/>
      <c r="E698" s="2"/>
      <c r="F698" s="2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2"/>
      <c r="T698" s="2"/>
      <c r="U698" s="2"/>
      <c r="V698" s="2"/>
      <c r="W698" s="2"/>
      <c r="X698" s="2"/>
      <c r="Y698" s="3"/>
      <c r="Z698" s="3"/>
      <c r="AA698" s="2"/>
      <c r="AB698" s="2"/>
      <c r="AC698" s="2"/>
      <c r="AD698" s="2"/>
      <c r="AE698" s="2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4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</row>
    <row r="699" ht="15.75">
      <c r="A699" s="3"/>
      <c r="B699" s="2"/>
      <c r="C699" s="2"/>
      <c r="D699" s="2"/>
      <c r="E699" s="2"/>
      <c r="F699" s="2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2"/>
      <c r="T699" s="2"/>
      <c r="U699" s="2"/>
      <c r="V699" s="2"/>
      <c r="W699" s="2"/>
      <c r="X699" s="2"/>
      <c r="Y699" s="3"/>
      <c r="Z699" s="3"/>
      <c r="AA699" s="2"/>
      <c r="AB699" s="2"/>
      <c r="AC699" s="2"/>
      <c r="AD699" s="2"/>
      <c r="AE699" s="2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4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</row>
    <row r="700" ht="15.75">
      <c r="A700" s="3"/>
      <c r="B700" s="2"/>
      <c r="C700" s="2"/>
      <c r="D700" s="2"/>
      <c r="E700" s="2"/>
      <c r="F700" s="2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2"/>
      <c r="T700" s="2"/>
      <c r="U700" s="2"/>
      <c r="V700" s="2"/>
      <c r="W700" s="2"/>
      <c r="X700" s="2"/>
      <c r="Y700" s="3"/>
      <c r="Z700" s="3"/>
      <c r="AA700" s="2"/>
      <c r="AB700" s="2"/>
      <c r="AC700" s="2"/>
      <c r="AD700" s="2"/>
      <c r="AE700" s="2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4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</row>
    <row r="701" ht="15.75">
      <c r="A701" s="3"/>
      <c r="B701" s="2"/>
      <c r="C701" s="2"/>
      <c r="D701" s="2"/>
      <c r="E701" s="2"/>
      <c r="F701" s="2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2"/>
      <c r="T701" s="2"/>
      <c r="U701" s="2"/>
      <c r="V701" s="2"/>
      <c r="W701" s="2"/>
      <c r="X701" s="2"/>
      <c r="Y701" s="3"/>
      <c r="Z701" s="3"/>
      <c r="AA701" s="2"/>
      <c r="AB701" s="2"/>
      <c r="AC701" s="2"/>
      <c r="AD701" s="2"/>
      <c r="AE701" s="2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4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</row>
    <row r="702" ht="15.75">
      <c r="A702" s="3"/>
      <c r="B702" s="2"/>
      <c r="C702" s="2"/>
      <c r="D702" s="2"/>
      <c r="E702" s="2"/>
      <c r="F702" s="2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2"/>
      <c r="T702" s="2"/>
      <c r="U702" s="2"/>
      <c r="V702" s="2"/>
      <c r="W702" s="2"/>
      <c r="X702" s="2"/>
      <c r="Y702" s="3"/>
      <c r="Z702" s="3"/>
      <c r="AA702" s="2"/>
      <c r="AB702" s="2"/>
      <c r="AC702" s="2"/>
      <c r="AD702" s="2"/>
      <c r="AE702" s="2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4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</row>
    <row r="703" ht="15.75">
      <c r="A703" s="3"/>
      <c r="B703" s="2"/>
      <c r="C703" s="2"/>
      <c r="D703" s="2"/>
      <c r="E703" s="2"/>
      <c r="F703" s="2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  <c r="S703" s="2"/>
      <c r="T703" s="2"/>
      <c r="U703" s="2"/>
      <c r="V703" s="2"/>
      <c r="W703" s="2"/>
      <c r="X703" s="2"/>
      <c r="Y703" s="3"/>
      <c r="Z703" s="3"/>
      <c r="AA703" s="2"/>
      <c r="AB703" s="2"/>
      <c r="AC703" s="2"/>
      <c r="AD703" s="2"/>
      <c r="AE703" s="2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4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</row>
    <row r="704" ht="15.75">
      <c r="A704" s="3"/>
      <c r="B704" s="2"/>
      <c r="C704" s="2"/>
      <c r="D704" s="2"/>
      <c r="E704" s="2"/>
      <c r="F704" s="2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2"/>
      <c r="T704" s="2"/>
      <c r="U704" s="2"/>
      <c r="V704" s="2"/>
      <c r="W704" s="2"/>
      <c r="X704" s="2"/>
      <c r="Y704" s="3"/>
      <c r="Z704" s="3"/>
      <c r="AA704" s="2"/>
      <c r="AB704" s="2"/>
      <c r="AC704" s="2"/>
      <c r="AD704" s="2"/>
      <c r="AE704" s="2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4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</row>
    <row r="705" ht="15.75">
      <c r="A705" s="3"/>
      <c r="B705" s="2"/>
      <c r="C705" s="2"/>
      <c r="D705" s="2"/>
      <c r="E705" s="2"/>
      <c r="F705" s="2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  <c r="S705" s="2"/>
      <c r="T705" s="2"/>
      <c r="U705" s="2"/>
      <c r="V705" s="2"/>
      <c r="W705" s="2"/>
      <c r="X705" s="2"/>
      <c r="Y705" s="3"/>
      <c r="Z705" s="3"/>
      <c r="AA705" s="2"/>
      <c r="AB705" s="2"/>
      <c r="AC705" s="2"/>
      <c r="AD705" s="2"/>
      <c r="AE705" s="2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4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</row>
    <row r="706" ht="15.75">
      <c r="A706" s="3"/>
      <c r="B706" s="2"/>
      <c r="C706" s="2"/>
      <c r="D706" s="2"/>
      <c r="E706" s="2"/>
      <c r="F706" s="2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2"/>
      <c r="T706" s="2"/>
      <c r="U706" s="2"/>
      <c r="V706" s="2"/>
      <c r="W706" s="2"/>
      <c r="X706" s="2"/>
      <c r="Y706" s="3"/>
      <c r="Z706" s="3"/>
      <c r="AA706" s="2"/>
      <c r="AB706" s="2"/>
      <c r="AC706" s="2"/>
      <c r="AD706" s="2"/>
      <c r="AE706" s="2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4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</row>
    <row r="707" ht="15.75">
      <c r="A707" s="3"/>
      <c r="B707" s="2"/>
      <c r="C707" s="2"/>
      <c r="D707" s="2"/>
      <c r="E707" s="2"/>
      <c r="F707" s="2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2"/>
      <c r="T707" s="2"/>
      <c r="U707" s="2"/>
      <c r="V707" s="2"/>
      <c r="W707" s="2"/>
      <c r="X707" s="2"/>
      <c r="Y707" s="3"/>
      <c r="Z707" s="3"/>
      <c r="AA707" s="2"/>
      <c r="AB707" s="2"/>
      <c r="AC707" s="2"/>
      <c r="AD707" s="2"/>
      <c r="AE707" s="2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4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</row>
    <row r="708" ht="15.75">
      <c r="A708" s="3"/>
      <c r="B708" s="2"/>
      <c r="C708" s="2"/>
      <c r="D708" s="2"/>
      <c r="E708" s="2"/>
      <c r="F708" s="2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2"/>
      <c r="T708" s="2"/>
      <c r="U708" s="2"/>
      <c r="V708" s="2"/>
      <c r="W708" s="2"/>
      <c r="X708" s="2"/>
      <c r="Y708" s="3"/>
      <c r="Z708" s="3"/>
      <c r="AA708" s="2"/>
      <c r="AB708" s="2"/>
      <c r="AC708" s="2"/>
      <c r="AD708" s="2"/>
      <c r="AE708" s="2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4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</row>
    <row r="709" ht="15.75">
      <c r="A709" s="3"/>
      <c r="B709" s="2"/>
      <c r="C709" s="2"/>
      <c r="D709" s="2"/>
      <c r="E709" s="2"/>
      <c r="F709" s="2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2"/>
      <c r="T709" s="2"/>
      <c r="U709" s="2"/>
      <c r="V709" s="2"/>
      <c r="W709" s="2"/>
      <c r="X709" s="2"/>
      <c r="Y709" s="3"/>
      <c r="Z709" s="3"/>
      <c r="AA709" s="2"/>
      <c r="AB709" s="2"/>
      <c r="AC709" s="2"/>
      <c r="AD709" s="2"/>
      <c r="AE709" s="2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4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</row>
    <row r="710" ht="15.75">
      <c r="A710" s="3"/>
      <c r="B710" s="2"/>
      <c r="C710" s="2"/>
      <c r="D710" s="2"/>
      <c r="E710" s="2"/>
      <c r="F710" s="2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2"/>
      <c r="T710" s="2"/>
      <c r="U710" s="2"/>
      <c r="V710" s="2"/>
      <c r="W710" s="2"/>
      <c r="X710" s="2"/>
      <c r="Y710" s="3"/>
      <c r="Z710" s="3"/>
      <c r="AA710" s="2"/>
      <c r="AB710" s="2"/>
      <c r="AC710" s="2"/>
      <c r="AD710" s="2"/>
      <c r="AE710" s="2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4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</row>
    <row r="711" ht="15.75">
      <c r="A711" s="3"/>
      <c r="B711" s="2"/>
      <c r="C711" s="2"/>
      <c r="D711" s="2"/>
      <c r="E711" s="2"/>
      <c r="F711" s="2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2"/>
      <c r="T711" s="2"/>
      <c r="U711" s="2"/>
      <c r="V711" s="2"/>
      <c r="W711" s="2"/>
      <c r="X711" s="2"/>
      <c r="Y711" s="3"/>
      <c r="Z711" s="3"/>
      <c r="AA711" s="2"/>
      <c r="AB711" s="2"/>
      <c r="AC711" s="2"/>
      <c r="AD711" s="2"/>
      <c r="AE711" s="2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4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</row>
    <row r="712" ht="15.75">
      <c r="A712" s="3"/>
      <c r="B712" s="2"/>
      <c r="C712" s="2"/>
      <c r="D712" s="2"/>
      <c r="E712" s="2"/>
      <c r="F712" s="2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2"/>
      <c r="T712" s="2"/>
      <c r="U712" s="2"/>
      <c r="V712" s="2"/>
      <c r="W712" s="2"/>
      <c r="X712" s="2"/>
      <c r="Y712" s="3"/>
      <c r="Z712" s="3"/>
      <c r="AA712" s="2"/>
      <c r="AB712" s="2"/>
      <c r="AC712" s="2"/>
      <c r="AD712" s="2"/>
      <c r="AE712" s="2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4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</row>
    <row r="713" ht="15.75">
      <c r="A713" s="3"/>
      <c r="B713" s="2"/>
      <c r="C713" s="2"/>
      <c r="D713" s="2"/>
      <c r="E713" s="2"/>
      <c r="F713" s="2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2"/>
      <c r="T713" s="2"/>
      <c r="U713" s="2"/>
      <c r="V713" s="2"/>
      <c r="W713" s="2"/>
      <c r="X713" s="2"/>
      <c r="Y713" s="3"/>
      <c r="Z713" s="3"/>
      <c r="AA713" s="2"/>
      <c r="AB713" s="2"/>
      <c r="AC713" s="2"/>
      <c r="AD713" s="2"/>
      <c r="AE713" s="2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4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</row>
    <row r="714" ht="15.75">
      <c r="A714" s="3"/>
      <c r="B714" s="2"/>
      <c r="C714" s="2"/>
      <c r="D714" s="2"/>
      <c r="E714" s="2"/>
      <c r="F714" s="2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2"/>
      <c r="T714" s="2"/>
      <c r="U714" s="2"/>
      <c r="V714" s="2"/>
      <c r="W714" s="2"/>
      <c r="X714" s="2"/>
      <c r="Y714" s="3"/>
      <c r="Z714" s="3"/>
      <c r="AA714" s="2"/>
      <c r="AB714" s="2"/>
      <c r="AC714" s="2"/>
      <c r="AD714" s="2"/>
      <c r="AE714" s="2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4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</row>
    <row r="715" ht="15.75">
      <c r="A715" s="3"/>
      <c r="B715" s="2"/>
      <c r="C715" s="2"/>
      <c r="D715" s="2"/>
      <c r="E715" s="2"/>
      <c r="F715" s="2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  <c r="S715" s="2"/>
      <c r="T715" s="2"/>
      <c r="U715" s="2"/>
      <c r="V715" s="2"/>
      <c r="W715" s="2"/>
      <c r="X715" s="2"/>
      <c r="Y715" s="3"/>
      <c r="Z715" s="3"/>
      <c r="AA715" s="2"/>
      <c r="AB715" s="2"/>
      <c r="AC715" s="2"/>
      <c r="AD715" s="2"/>
      <c r="AE715" s="2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4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</row>
    <row r="716" ht="15.75">
      <c r="A716" s="3"/>
      <c r="B716" s="2"/>
      <c r="C716" s="2"/>
      <c r="D716" s="2"/>
      <c r="E716" s="2"/>
      <c r="F716" s="2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2"/>
      <c r="T716" s="2"/>
      <c r="U716" s="2"/>
      <c r="V716" s="2"/>
      <c r="W716" s="2"/>
      <c r="X716" s="2"/>
      <c r="Y716" s="3"/>
      <c r="Z716" s="3"/>
      <c r="AA716" s="2"/>
      <c r="AB716" s="2"/>
      <c r="AC716" s="2"/>
      <c r="AD716" s="2"/>
      <c r="AE716" s="2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4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</row>
    <row r="717" ht="15.75">
      <c r="A717" s="3"/>
      <c r="B717" s="2"/>
      <c r="C717" s="2"/>
      <c r="D717" s="2"/>
      <c r="E717" s="2"/>
      <c r="F717" s="2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2"/>
      <c r="T717" s="2"/>
      <c r="U717" s="2"/>
      <c r="V717" s="2"/>
      <c r="W717" s="2"/>
      <c r="X717" s="2"/>
      <c r="Y717" s="3"/>
      <c r="Z717" s="3"/>
      <c r="AA717" s="2"/>
      <c r="AB717" s="2"/>
      <c r="AC717" s="2"/>
      <c r="AD717" s="2"/>
      <c r="AE717" s="2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4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</row>
    <row r="718" ht="15.75">
      <c r="A718" s="3"/>
      <c r="B718" s="2"/>
      <c r="C718" s="2"/>
      <c r="D718" s="2"/>
      <c r="E718" s="2"/>
      <c r="F718" s="2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2"/>
      <c r="T718" s="2"/>
      <c r="U718" s="2"/>
      <c r="V718" s="2"/>
      <c r="W718" s="2"/>
      <c r="X718" s="2"/>
      <c r="Y718" s="3"/>
      <c r="Z718" s="3"/>
      <c r="AA718" s="2"/>
      <c r="AB718" s="2"/>
      <c r="AC718" s="2"/>
      <c r="AD718" s="2"/>
      <c r="AE718" s="2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4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</row>
    <row r="719" ht="15.75">
      <c r="A719" s="3"/>
      <c r="B719" s="2"/>
      <c r="C719" s="2"/>
      <c r="D719" s="2"/>
      <c r="E719" s="2"/>
      <c r="F719" s="2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2"/>
      <c r="T719" s="2"/>
      <c r="U719" s="2"/>
      <c r="V719" s="2"/>
      <c r="W719" s="2"/>
      <c r="X719" s="2"/>
      <c r="Y719" s="3"/>
      <c r="Z719" s="3"/>
      <c r="AA719" s="2"/>
      <c r="AB719" s="2"/>
      <c r="AC719" s="2"/>
      <c r="AD719" s="2"/>
      <c r="AE719" s="2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4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</row>
    <row r="720" ht="15.75">
      <c r="A720" s="3"/>
      <c r="B720" s="2"/>
      <c r="C720" s="2"/>
      <c r="D720" s="2"/>
      <c r="E720" s="2"/>
      <c r="F720" s="2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2"/>
      <c r="T720" s="2"/>
      <c r="U720" s="2"/>
      <c r="V720" s="2"/>
      <c r="W720" s="2"/>
      <c r="X720" s="2"/>
      <c r="Y720" s="3"/>
      <c r="Z720" s="3"/>
      <c r="AA720" s="2"/>
      <c r="AB720" s="2"/>
      <c r="AC720" s="2"/>
      <c r="AD720" s="2"/>
      <c r="AE720" s="2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4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</row>
    <row r="721" ht="15.75">
      <c r="A721" s="3"/>
      <c r="B721" s="2"/>
      <c r="C721" s="2"/>
      <c r="D721" s="2"/>
      <c r="E721" s="2"/>
      <c r="F721" s="2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2"/>
      <c r="T721" s="2"/>
      <c r="U721" s="2"/>
      <c r="V721" s="2"/>
      <c r="W721" s="2"/>
      <c r="X721" s="2"/>
      <c r="Y721" s="3"/>
      <c r="Z721" s="3"/>
      <c r="AA721" s="2"/>
      <c r="AB721" s="2"/>
      <c r="AC721" s="2"/>
      <c r="AD721" s="2"/>
      <c r="AE721" s="2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4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</row>
    <row r="722" ht="15.75">
      <c r="A722" s="3"/>
      <c r="B722" s="2"/>
      <c r="C722" s="2"/>
      <c r="D722" s="2"/>
      <c r="E722" s="2"/>
      <c r="F722" s="2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2"/>
      <c r="T722" s="2"/>
      <c r="U722" s="2"/>
      <c r="V722" s="2"/>
      <c r="W722" s="2"/>
      <c r="X722" s="2"/>
      <c r="Y722" s="3"/>
      <c r="Z722" s="3"/>
      <c r="AA722" s="2"/>
      <c r="AB722" s="2"/>
      <c r="AC722" s="2"/>
      <c r="AD722" s="2"/>
      <c r="AE722" s="2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4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</row>
    <row r="723" ht="15.75">
      <c r="A723" s="3"/>
      <c r="B723" s="2"/>
      <c r="C723" s="2"/>
      <c r="D723" s="2"/>
      <c r="E723" s="2"/>
      <c r="F723" s="2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2"/>
      <c r="T723" s="2"/>
      <c r="U723" s="2"/>
      <c r="V723" s="2"/>
      <c r="W723" s="2"/>
      <c r="X723" s="2"/>
      <c r="Y723" s="3"/>
      <c r="Z723" s="3"/>
      <c r="AA723" s="2"/>
      <c r="AB723" s="2"/>
      <c r="AC723" s="2"/>
      <c r="AD723" s="2"/>
      <c r="AE723" s="2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4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</row>
    <row r="724" ht="15.75">
      <c r="A724" s="3"/>
      <c r="B724" s="2"/>
      <c r="C724" s="2"/>
      <c r="D724" s="2"/>
      <c r="E724" s="2"/>
      <c r="F724" s="2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2"/>
      <c r="T724" s="2"/>
      <c r="U724" s="2"/>
      <c r="V724" s="2"/>
      <c r="W724" s="2"/>
      <c r="X724" s="2"/>
      <c r="Y724" s="3"/>
      <c r="Z724" s="3"/>
      <c r="AA724" s="2"/>
      <c r="AB724" s="2"/>
      <c r="AC724" s="2"/>
      <c r="AD724" s="2"/>
      <c r="AE724" s="2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4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</row>
    <row r="725" ht="15.75">
      <c r="A725" s="3"/>
      <c r="B725" s="2"/>
      <c r="C725" s="2"/>
      <c r="D725" s="2"/>
      <c r="E725" s="2"/>
      <c r="F725" s="2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2"/>
      <c r="T725" s="2"/>
      <c r="U725" s="2"/>
      <c r="V725" s="2"/>
      <c r="W725" s="2"/>
      <c r="X725" s="2"/>
      <c r="Y725" s="3"/>
      <c r="Z725" s="3"/>
      <c r="AA725" s="2"/>
      <c r="AB725" s="2"/>
      <c r="AC725" s="2"/>
      <c r="AD725" s="2"/>
      <c r="AE725" s="2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4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</row>
    <row r="726" ht="15.75">
      <c r="A726" s="3"/>
      <c r="B726" s="2"/>
      <c r="C726" s="2"/>
      <c r="D726" s="2"/>
      <c r="E726" s="2"/>
      <c r="F726" s="2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2"/>
      <c r="T726" s="2"/>
      <c r="U726" s="2"/>
      <c r="V726" s="2"/>
      <c r="W726" s="2"/>
      <c r="X726" s="2"/>
      <c r="Y726" s="3"/>
      <c r="Z726" s="3"/>
      <c r="AA726" s="2"/>
      <c r="AB726" s="2"/>
      <c r="AC726" s="2"/>
      <c r="AD726" s="2"/>
      <c r="AE726" s="2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4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</row>
    <row r="727" ht="15.75">
      <c r="A727" s="3"/>
      <c r="B727" s="2"/>
      <c r="C727" s="2"/>
      <c r="D727" s="2"/>
      <c r="E727" s="2"/>
      <c r="F727" s="2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2"/>
      <c r="T727" s="2"/>
      <c r="U727" s="2"/>
      <c r="V727" s="2"/>
      <c r="W727" s="2"/>
      <c r="X727" s="2"/>
      <c r="Y727" s="3"/>
      <c r="Z727" s="3"/>
      <c r="AA727" s="2"/>
      <c r="AB727" s="2"/>
      <c r="AC727" s="2"/>
      <c r="AD727" s="2"/>
      <c r="AE727" s="2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4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</row>
    <row r="728" ht="15.75">
      <c r="A728" s="3"/>
      <c r="B728" s="2"/>
      <c r="C728" s="2"/>
      <c r="D728" s="2"/>
      <c r="E728" s="2"/>
      <c r="F728" s="2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2"/>
      <c r="T728" s="2"/>
      <c r="U728" s="2"/>
      <c r="V728" s="2"/>
      <c r="W728" s="2"/>
      <c r="X728" s="2"/>
      <c r="Y728" s="3"/>
      <c r="Z728" s="3"/>
      <c r="AA728" s="2"/>
      <c r="AB728" s="2"/>
      <c r="AC728" s="2"/>
      <c r="AD728" s="2"/>
      <c r="AE728" s="2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4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</row>
    <row r="729" ht="15.75">
      <c r="A729" s="3"/>
      <c r="B729" s="2"/>
      <c r="C729" s="2"/>
      <c r="D729" s="2"/>
      <c r="E729" s="2"/>
      <c r="F729" s="2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2"/>
      <c r="T729" s="2"/>
      <c r="U729" s="2"/>
      <c r="V729" s="2"/>
      <c r="W729" s="2"/>
      <c r="X729" s="2"/>
      <c r="Y729" s="3"/>
      <c r="Z729" s="3"/>
      <c r="AA729" s="2"/>
      <c r="AB729" s="2"/>
      <c r="AC729" s="2"/>
      <c r="AD729" s="2"/>
      <c r="AE729" s="2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4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</row>
    <row r="730" ht="15.75">
      <c r="A730" s="3"/>
      <c r="B730" s="2"/>
      <c r="C730" s="2"/>
      <c r="D730" s="2"/>
      <c r="E730" s="2"/>
      <c r="F730" s="2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2"/>
      <c r="T730" s="2"/>
      <c r="U730" s="2"/>
      <c r="V730" s="2"/>
      <c r="W730" s="2"/>
      <c r="X730" s="2"/>
      <c r="Y730" s="3"/>
      <c r="Z730" s="3"/>
      <c r="AA730" s="2"/>
      <c r="AB730" s="2"/>
      <c r="AC730" s="2"/>
      <c r="AD730" s="2"/>
      <c r="AE730" s="2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4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</row>
    <row r="731" ht="15.75">
      <c r="A731" s="3"/>
      <c r="B731" s="2"/>
      <c r="C731" s="2"/>
      <c r="D731" s="2"/>
      <c r="E731" s="2"/>
      <c r="F731" s="2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2"/>
      <c r="T731" s="2"/>
      <c r="U731" s="2"/>
      <c r="V731" s="2"/>
      <c r="W731" s="2"/>
      <c r="X731" s="2"/>
      <c r="Y731" s="3"/>
      <c r="Z731" s="3"/>
      <c r="AA731" s="2"/>
      <c r="AB731" s="2"/>
      <c r="AC731" s="2"/>
      <c r="AD731" s="2"/>
      <c r="AE731" s="2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4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</row>
    <row r="732" ht="15.75">
      <c r="A732" s="3"/>
      <c r="B732" s="2"/>
      <c r="C732" s="2"/>
      <c r="D732" s="2"/>
      <c r="E732" s="2"/>
      <c r="F732" s="2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2"/>
      <c r="T732" s="2"/>
      <c r="U732" s="2"/>
      <c r="V732" s="2"/>
      <c r="W732" s="2"/>
      <c r="X732" s="2"/>
      <c r="Y732" s="3"/>
      <c r="Z732" s="3"/>
      <c r="AA732" s="2"/>
      <c r="AB732" s="2"/>
      <c r="AC732" s="2"/>
      <c r="AD732" s="2"/>
      <c r="AE732" s="2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4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</row>
    <row r="733" ht="15.75">
      <c r="A733" s="3"/>
      <c r="B733" s="2"/>
      <c r="C733" s="2"/>
      <c r="D733" s="2"/>
      <c r="E733" s="2"/>
      <c r="F733" s="2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2"/>
      <c r="T733" s="2"/>
      <c r="U733" s="2"/>
      <c r="V733" s="2"/>
      <c r="W733" s="2"/>
      <c r="X733" s="2"/>
      <c r="Y733" s="3"/>
      <c r="Z733" s="3"/>
      <c r="AA733" s="2"/>
      <c r="AB733" s="2"/>
      <c r="AC733" s="2"/>
      <c r="AD733" s="2"/>
      <c r="AE733" s="2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4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</row>
    <row r="734" ht="15.75">
      <c r="A734" s="3"/>
      <c r="B734" s="2"/>
      <c r="C734" s="2"/>
      <c r="D734" s="2"/>
      <c r="E734" s="2"/>
      <c r="F734" s="2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2"/>
      <c r="T734" s="2"/>
      <c r="U734" s="2"/>
      <c r="V734" s="2"/>
      <c r="W734" s="2"/>
      <c r="X734" s="2"/>
      <c r="Y734" s="3"/>
      <c r="Z734" s="3"/>
      <c r="AA734" s="2"/>
      <c r="AB734" s="2"/>
      <c r="AC734" s="2"/>
      <c r="AD734" s="2"/>
      <c r="AE734" s="2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4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</row>
    <row r="735" ht="15.75">
      <c r="A735" s="3"/>
      <c r="B735" s="2"/>
      <c r="C735" s="2"/>
      <c r="D735" s="2"/>
      <c r="E735" s="2"/>
      <c r="F735" s="2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2"/>
      <c r="T735" s="2"/>
      <c r="U735" s="2"/>
      <c r="V735" s="2"/>
      <c r="W735" s="2"/>
      <c r="X735" s="2"/>
      <c r="Y735" s="3"/>
      <c r="Z735" s="3"/>
      <c r="AA735" s="2"/>
      <c r="AB735" s="2"/>
      <c r="AC735" s="2"/>
      <c r="AD735" s="2"/>
      <c r="AE735" s="2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4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</row>
    <row r="736" ht="15.75">
      <c r="A736" s="3"/>
      <c r="B736" s="2"/>
      <c r="C736" s="2"/>
      <c r="D736" s="2"/>
      <c r="E736" s="2"/>
      <c r="F736" s="2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2"/>
      <c r="T736" s="2"/>
      <c r="U736" s="2"/>
      <c r="V736" s="2"/>
      <c r="W736" s="2"/>
      <c r="X736" s="2"/>
      <c r="Y736" s="3"/>
      <c r="Z736" s="3"/>
      <c r="AA736" s="2"/>
      <c r="AB736" s="2"/>
      <c r="AC736" s="2"/>
      <c r="AD736" s="2"/>
      <c r="AE736" s="2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4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</row>
    <row r="737" ht="15.75">
      <c r="A737" s="3"/>
      <c r="B737" s="2"/>
      <c r="C737" s="2"/>
      <c r="D737" s="2"/>
      <c r="E737" s="2"/>
      <c r="F737" s="2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2"/>
      <c r="T737" s="2"/>
      <c r="U737" s="2"/>
      <c r="V737" s="2"/>
      <c r="W737" s="2"/>
      <c r="X737" s="2"/>
      <c r="Y737" s="3"/>
      <c r="Z737" s="3"/>
      <c r="AA737" s="2"/>
      <c r="AB737" s="2"/>
      <c r="AC737" s="2"/>
      <c r="AD737" s="2"/>
      <c r="AE737" s="2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4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</row>
    <row r="738" ht="15.75">
      <c r="A738" s="3"/>
      <c r="B738" s="2"/>
      <c r="C738" s="2"/>
      <c r="D738" s="2"/>
      <c r="E738" s="2"/>
      <c r="F738" s="2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2"/>
      <c r="T738" s="2"/>
      <c r="U738" s="2"/>
      <c r="V738" s="2"/>
      <c r="W738" s="2"/>
      <c r="X738" s="2"/>
      <c r="Y738" s="3"/>
      <c r="Z738" s="3"/>
      <c r="AA738" s="2"/>
      <c r="AB738" s="2"/>
      <c r="AC738" s="2"/>
      <c r="AD738" s="2"/>
      <c r="AE738" s="2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4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</row>
    <row r="739" ht="15.75">
      <c r="A739" s="3"/>
      <c r="B739" s="2"/>
      <c r="C739" s="2"/>
      <c r="D739" s="2"/>
      <c r="E739" s="2"/>
      <c r="F739" s="2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2"/>
      <c r="T739" s="2"/>
      <c r="U739" s="2"/>
      <c r="V739" s="2"/>
      <c r="W739" s="2"/>
      <c r="X739" s="2"/>
      <c r="Y739" s="3"/>
      <c r="Z739" s="3"/>
      <c r="AA739" s="2"/>
      <c r="AB739" s="2"/>
      <c r="AC739" s="2"/>
      <c r="AD739" s="2"/>
      <c r="AE739" s="2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4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</row>
    <row r="740" ht="15.75">
      <c r="A740" s="3"/>
      <c r="B740" s="2"/>
      <c r="C740" s="2"/>
      <c r="D740" s="2"/>
      <c r="E740" s="2"/>
      <c r="F740" s="2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2"/>
      <c r="T740" s="2"/>
      <c r="U740" s="2"/>
      <c r="V740" s="2"/>
      <c r="W740" s="2"/>
      <c r="X740" s="2"/>
      <c r="Y740" s="3"/>
      <c r="Z740" s="3"/>
      <c r="AA740" s="2"/>
      <c r="AB740" s="2"/>
      <c r="AC740" s="2"/>
      <c r="AD740" s="2"/>
      <c r="AE740" s="2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4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</row>
    <row r="741" ht="15.75">
      <c r="A741" s="3"/>
      <c r="B741" s="2"/>
      <c r="C741" s="2"/>
      <c r="D741" s="2"/>
      <c r="E741" s="2"/>
      <c r="F741" s="2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2"/>
      <c r="T741" s="2"/>
      <c r="U741" s="2"/>
      <c r="V741" s="2"/>
      <c r="W741" s="2"/>
      <c r="X741" s="2"/>
      <c r="Y741" s="3"/>
      <c r="Z741" s="3"/>
      <c r="AA741" s="2"/>
      <c r="AB741" s="2"/>
      <c r="AC741" s="2"/>
      <c r="AD741" s="2"/>
      <c r="AE741" s="2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4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</row>
    <row r="742" ht="15.75">
      <c r="A742" s="3"/>
      <c r="B742" s="2"/>
      <c r="C742" s="2"/>
      <c r="D742" s="2"/>
      <c r="E742" s="2"/>
      <c r="F742" s="2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2"/>
      <c r="T742" s="2"/>
      <c r="U742" s="2"/>
      <c r="V742" s="2"/>
      <c r="W742" s="2"/>
      <c r="X742" s="2"/>
      <c r="Y742" s="3"/>
      <c r="Z742" s="3"/>
      <c r="AA742" s="2"/>
      <c r="AB742" s="2"/>
      <c r="AC742" s="2"/>
      <c r="AD742" s="2"/>
      <c r="AE742" s="2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4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</row>
    <row r="743" ht="15.75">
      <c r="A743" s="3"/>
      <c r="B743" s="2"/>
      <c r="C743" s="2"/>
      <c r="D743" s="2"/>
      <c r="E743" s="2"/>
      <c r="F743" s="2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2"/>
      <c r="T743" s="2"/>
      <c r="U743" s="2"/>
      <c r="V743" s="2"/>
      <c r="W743" s="2"/>
      <c r="X743" s="2"/>
      <c r="Y743" s="3"/>
      <c r="Z743" s="3"/>
      <c r="AA743" s="2"/>
      <c r="AB743" s="2"/>
      <c r="AC743" s="2"/>
      <c r="AD743" s="2"/>
      <c r="AE743" s="2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4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</row>
    <row r="744" ht="15.75">
      <c r="A744" s="3"/>
      <c r="B744" s="2"/>
      <c r="C744" s="2"/>
      <c r="D744" s="2"/>
      <c r="E744" s="2"/>
      <c r="F744" s="2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2"/>
      <c r="T744" s="2"/>
      <c r="U744" s="2"/>
      <c r="V744" s="2"/>
      <c r="W744" s="2"/>
      <c r="X744" s="2"/>
      <c r="Y744" s="3"/>
      <c r="Z744" s="3"/>
      <c r="AA744" s="2"/>
      <c r="AB744" s="2"/>
      <c r="AC744" s="2"/>
      <c r="AD744" s="2"/>
      <c r="AE744" s="2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4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</row>
    <row r="745" ht="15.75">
      <c r="A745" s="3"/>
      <c r="B745" s="2"/>
      <c r="C745" s="2"/>
      <c r="D745" s="2"/>
      <c r="E745" s="2"/>
      <c r="F745" s="2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2"/>
      <c r="T745" s="2"/>
      <c r="U745" s="2"/>
      <c r="V745" s="2"/>
      <c r="W745" s="2"/>
      <c r="X745" s="2"/>
      <c r="Y745" s="3"/>
      <c r="Z745" s="3"/>
      <c r="AA745" s="2"/>
      <c r="AB745" s="2"/>
      <c r="AC745" s="2"/>
      <c r="AD745" s="2"/>
      <c r="AE745" s="2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4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</row>
    <row r="746" ht="15.75">
      <c r="A746" s="3"/>
      <c r="B746" s="2"/>
      <c r="C746" s="2"/>
      <c r="D746" s="2"/>
      <c r="E746" s="2"/>
      <c r="F746" s="2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2"/>
      <c r="T746" s="2"/>
      <c r="U746" s="2"/>
      <c r="V746" s="2"/>
      <c r="W746" s="2"/>
      <c r="X746" s="2"/>
      <c r="Y746" s="3"/>
      <c r="Z746" s="3"/>
      <c r="AA746" s="2"/>
      <c r="AB746" s="2"/>
      <c r="AC746" s="2"/>
      <c r="AD746" s="2"/>
      <c r="AE746" s="2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4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</row>
    <row r="747" ht="15.75">
      <c r="A747" s="3"/>
      <c r="B747" s="2"/>
      <c r="C747" s="2"/>
      <c r="D747" s="2"/>
      <c r="E747" s="2"/>
      <c r="F747" s="2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2"/>
      <c r="T747" s="2"/>
      <c r="U747" s="2"/>
      <c r="V747" s="2"/>
      <c r="W747" s="2"/>
      <c r="X747" s="2"/>
      <c r="Y747" s="3"/>
      <c r="Z747" s="3"/>
      <c r="AA747" s="2"/>
      <c r="AB747" s="2"/>
      <c r="AC747" s="2"/>
      <c r="AD747" s="2"/>
      <c r="AE747" s="2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4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</row>
    <row r="748" ht="15.75">
      <c r="A748" s="3"/>
      <c r="B748" s="2"/>
      <c r="C748" s="2"/>
      <c r="D748" s="2"/>
      <c r="E748" s="2"/>
      <c r="F748" s="2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  <c r="S748" s="2"/>
      <c r="T748" s="2"/>
      <c r="U748" s="2"/>
      <c r="V748" s="2"/>
      <c r="W748" s="2"/>
      <c r="X748" s="2"/>
      <c r="Y748" s="3"/>
      <c r="Z748" s="3"/>
      <c r="AA748" s="2"/>
      <c r="AB748" s="2"/>
      <c r="AC748" s="2"/>
      <c r="AD748" s="2"/>
      <c r="AE748" s="2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4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</row>
    <row r="749" ht="15.75">
      <c r="A749" s="3"/>
      <c r="B749" s="2"/>
      <c r="C749" s="2"/>
      <c r="D749" s="2"/>
      <c r="E749" s="2"/>
      <c r="F749" s="2"/>
      <c r="G749" s="2"/>
      <c r="H749" s="2"/>
      <c r="I749" s="2"/>
      <c r="J749" s="3"/>
      <c r="K749" s="3"/>
      <c r="L749" s="3"/>
      <c r="M749" s="3"/>
      <c r="N749" s="3"/>
      <c r="O749" s="3"/>
      <c r="P749" s="3"/>
      <c r="Q749" s="3"/>
      <c r="R749" s="3"/>
      <c r="S749" s="2"/>
      <c r="T749" s="2"/>
      <c r="U749" s="2"/>
      <c r="V749" s="2"/>
      <c r="W749" s="2"/>
      <c r="X749" s="2"/>
      <c r="Y749" s="3"/>
      <c r="Z749" s="3"/>
      <c r="AA749" s="2"/>
      <c r="AB749" s="2"/>
      <c r="AC749" s="2"/>
      <c r="AD749" s="2"/>
      <c r="AE749" s="2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4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</row>
    <row r="750" ht="15.75">
      <c r="A750" s="3"/>
      <c r="B750" s="2"/>
      <c r="C750" s="2"/>
      <c r="D750" s="2"/>
      <c r="E750" s="2"/>
      <c r="F750" s="2"/>
      <c r="G750" s="2"/>
      <c r="H750" s="2"/>
      <c r="I750" s="2"/>
      <c r="J750" s="3"/>
      <c r="K750" s="3"/>
      <c r="L750" s="3"/>
      <c r="M750" s="3"/>
      <c r="N750" s="3"/>
      <c r="O750" s="3"/>
      <c r="P750" s="3"/>
      <c r="Q750" s="3"/>
      <c r="R750" s="3"/>
      <c r="S750" s="2"/>
      <c r="T750" s="2"/>
      <c r="U750" s="2"/>
      <c r="V750" s="2"/>
      <c r="W750" s="2"/>
      <c r="X750" s="2"/>
      <c r="Y750" s="3"/>
      <c r="Z750" s="3"/>
      <c r="AA750" s="2"/>
      <c r="AB750" s="2"/>
      <c r="AC750" s="2"/>
      <c r="AD750" s="2"/>
      <c r="AE750" s="2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4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</row>
    <row r="751" ht="15.75">
      <c r="A751" s="3"/>
      <c r="B751" s="2"/>
      <c r="C751" s="2"/>
      <c r="D751" s="2"/>
      <c r="E751" s="2"/>
      <c r="F751" s="2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2"/>
      <c r="T751" s="2"/>
      <c r="U751" s="2"/>
      <c r="V751" s="2"/>
      <c r="W751" s="2"/>
      <c r="X751" s="2"/>
      <c r="Y751" s="3"/>
      <c r="Z751" s="3"/>
      <c r="AA751" s="2"/>
      <c r="AB751" s="2"/>
      <c r="AC751" s="2"/>
      <c r="AD751" s="2"/>
      <c r="AE751" s="2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4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</row>
    <row r="752" ht="15.75">
      <c r="A752" s="3"/>
      <c r="B752" s="2"/>
      <c r="C752" s="2"/>
      <c r="D752" s="2"/>
      <c r="E752" s="2"/>
      <c r="F752" s="2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2"/>
      <c r="T752" s="2"/>
      <c r="U752" s="2"/>
      <c r="V752" s="2"/>
      <c r="W752" s="2"/>
      <c r="X752" s="2"/>
      <c r="Y752" s="3"/>
      <c r="Z752" s="3"/>
      <c r="AA752" s="2"/>
      <c r="AB752" s="2"/>
      <c r="AC752" s="2"/>
      <c r="AD752" s="2"/>
      <c r="AE752" s="2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4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</row>
    <row r="753" ht="15.75">
      <c r="A753" s="3"/>
      <c r="B753" s="2"/>
      <c r="C753" s="2"/>
      <c r="D753" s="2"/>
      <c r="E753" s="2"/>
      <c r="F753" s="2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2"/>
      <c r="T753" s="2"/>
      <c r="U753" s="2"/>
      <c r="V753" s="2"/>
      <c r="W753" s="2"/>
      <c r="X753" s="2"/>
      <c r="Y753" s="3"/>
      <c r="Z753" s="3"/>
      <c r="AA753" s="2"/>
      <c r="AB753" s="2"/>
      <c r="AC753" s="2"/>
      <c r="AD753" s="2"/>
      <c r="AE753" s="2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4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</row>
    <row r="754" ht="15.75">
      <c r="A754" s="3"/>
      <c r="B754" s="2"/>
      <c r="C754" s="2"/>
      <c r="D754" s="2"/>
      <c r="E754" s="2"/>
      <c r="F754" s="2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2"/>
      <c r="T754" s="2"/>
      <c r="U754" s="2"/>
      <c r="V754" s="2"/>
      <c r="W754" s="2"/>
      <c r="X754" s="2"/>
      <c r="Y754" s="3"/>
      <c r="Z754" s="3"/>
      <c r="AA754" s="2"/>
      <c r="AB754" s="2"/>
      <c r="AC754" s="2"/>
      <c r="AD754" s="2"/>
      <c r="AE754" s="2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4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</row>
    <row r="755" ht="15.75">
      <c r="A755" s="3"/>
      <c r="B755" s="2"/>
      <c r="C755" s="2"/>
      <c r="D755" s="2"/>
      <c r="E755" s="2"/>
      <c r="F755" s="2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2"/>
      <c r="T755" s="2"/>
      <c r="U755" s="2"/>
      <c r="V755" s="2"/>
      <c r="W755" s="2"/>
      <c r="X755" s="2"/>
      <c r="Y755" s="3"/>
      <c r="Z755" s="3"/>
      <c r="AA755" s="2"/>
      <c r="AB755" s="2"/>
      <c r="AC755" s="2"/>
      <c r="AD755" s="2"/>
      <c r="AE755" s="2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4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</row>
    <row r="756" ht="15.75">
      <c r="A756" s="3"/>
      <c r="B756" s="2"/>
      <c r="C756" s="2"/>
      <c r="D756" s="2"/>
      <c r="E756" s="2"/>
      <c r="F756" s="2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2"/>
      <c r="T756" s="2"/>
      <c r="U756" s="2"/>
      <c r="V756" s="2"/>
      <c r="W756" s="2"/>
      <c r="X756" s="2"/>
      <c r="Y756" s="3"/>
      <c r="Z756" s="3"/>
      <c r="AA756" s="2"/>
      <c r="AB756" s="2"/>
      <c r="AC756" s="2"/>
      <c r="AD756" s="2"/>
      <c r="AE756" s="2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4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</row>
    <row r="757" ht="15.75">
      <c r="A757" s="3"/>
      <c r="B757" s="2"/>
      <c r="C757" s="2"/>
      <c r="D757" s="2"/>
      <c r="E757" s="2"/>
      <c r="F757" s="2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  <c r="S757" s="2"/>
      <c r="T757" s="2"/>
      <c r="U757" s="2"/>
      <c r="V757" s="2"/>
      <c r="W757" s="2"/>
      <c r="X757" s="2"/>
      <c r="Y757" s="3"/>
      <c r="Z757" s="3"/>
      <c r="AA757" s="2"/>
      <c r="AB757" s="2"/>
      <c r="AC757" s="2"/>
      <c r="AD757" s="2"/>
      <c r="AE757" s="2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4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</row>
    <row r="758" ht="15.75">
      <c r="A758" s="3"/>
      <c r="B758" s="2"/>
      <c r="C758" s="2"/>
      <c r="D758" s="2"/>
      <c r="E758" s="2"/>
      <c r="F758" s="2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2"/>
      <c r="T758" s="2"/>
      <c r="U758" s="2"/>
      <c r="V758" s="2"/>
      <c r="W758" s="2"/>
      <c r="X758" s="2"/>
      <c r="Y758" s="3"/>
      <c r="Z758" s="3"/>
      <c r="AA758" s="2"/>
      <c r="AB758" s="2"/>
      <c r="AC758" s="2"/>
      <c r="AD758" s="2"/>
      <c r="AE758" s="2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4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</row>
    <row r="759" ht="15.75">
      <c r="A759" s="3"/>
      <c r="B759" s="2"/>
      <c r="C759" s="2"/>
      <c r="D759" s="2"/>
      <c r="E759" s="2"/>
      <c r="F759" s="2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  <c r="S759" s="2"/>
      <c r="T759" s="2"/>
      <c r="U759" s="2"/>
      <c r="V759" s="2"/>
      <c r="W759" s="2"/>
      <c r="X759" s="2"/>
      <c r="Y759" s="3"/>
      <c r="Z759" s="3"/>
      <c r="AA759" s="2"/>
      <c r="AB759" s="2"/>
      <c r="AC759" s="2"/>
      <c r="AD759" s="2"/>
      <c r="AE759" s="2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4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</row>
    <row r="760" ht="15.75">
      <c r="A760" s="3"/>
      <c r="B760" s="2"/>
      <c r="C760" s="2"/>
      <c r="D760" s="2"/>
      <c r="E760" s="2"/>
      <c r="F760" s="2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2"/>
      <c r="T760" s="2"/>
      <c r="U760" s="2"/>
      <c r="V760" s="2"/>
      <c r="W760" s="2"/>
      <c r="X760" s="2"/>
      <c r="Y760" s="3"/>
      <c r="Z760" s="3"/>
      <c r="AA760" s="2"/>
      <c r="AB760" s="2"/>
      <c r="AC760" s="2"/>
      <c r="AD760" s="2"/>
      <c r="AE760" s="2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4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</row>
    <row r="761" ht="15.75">
      <c r="A761" s="3"/>
      <c r="B761" s="2"/>
      <c r="C761" s="2"/>
      <c r="D761" s="2"/>
      <c r="E761" s="2"/>
      <c r="F761" s="2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2"/>
      <c r="T761" s="2"/>
      <c r="U761" s="2"/>
      <c r="V761" s="2"/>
      <c r="W761" s="2"/>
      <c r="X761" s="2"/>
      <c r="Y761" s="3"/>
      <c r="Z761" s="3"/>
      <c r="AA761" s="2"/>
      <c r="AB761" s="2"/>
      <c r="AC761" s="2"/>
      <c r="AD761" s="2"/>
      <c r="AE761" s="2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4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</row>
    <row r="762" ht="15.75">
      <c r="A762" s="3"/>
      <c r="B762" s="2"/>
      <c r="C762" s="2"/>
      <c r="D762" s="2"/>
      <c r="E762" s="2"/>
      <c r="F762" s="2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2"/>
      <c r="T762" s="2"/>
      <c r="U762" s="2"/>
      <c r="V762" s="2"/>
      <c r="W762" s="2"/>
      <c r="X762" s="2"/>
      <c r="Y762" s="3"/>
      <c r="Z762" s="3"/>
      <c r="AA762" s="2"/>
      <c r="AB762" s="2"/>
      <c r="AC762" s="2"/>
      <c r="AD762" s="2"/>
      <c r="AE762" s="2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4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</row>
    <row r="763" ht="15.75">
      <c r="A763" s="3"/>
      <c r="B763" s="2"/>
      <c r="C763" s="2"/>
      <c r="D763" s="2"/>
      <c r="E763" s="2"/>
      <c r="F763" s="2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2"/>
      <c r="T763" s="2"/>
      <c r="U763" s="2"/>
      <c r="V763" s="2"/>
      <c r="W763" s="2"/>
      <c r="X763" s="2"/>
      <c r="Y763" s="3"/>
      <c r="Z763" s="3"/>
      <c r="AA763" s="2"/>
      <c r="AB763" s="2"/>
      <c r="AC763" s="2"/>
      <c r="AD763" s="2"/>
      <c r="AE763" s="2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4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</row>
    <row r="764" ht="15.75">
      <c r="A764" s="3"/>
      <c r="B764" s="2"/>
      <c r="C764" s="2"/>
      <c r="D764" s="2"/>
      <c r="E764" s="2"/>
      <c r="F764" s="2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  <c r="S764" s="2"/>
      <c r="T764" s="2"/>
      <c r="U764" s="2"/>
      <c r="V764" s="2"/>
      <c r="W764" s="2"/>
      <c r="X764" s="2"/>
      <c r="Y764" s="3"/>
      <c r="Z764" s="3"/>
      <c r="AA764" s="2"/>
      <c r="AB764" s="2"/>
      <c r="AC764" s="2"/>
      <c r="AD764" s="2"/>
      <c r="AE764" s="2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4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</row>
    <row r="765" ht="15.75">
      <c r="A765" s="3"/>
      <c r="B765" s="2"/>
      <c r="C765" s="2"/>
      <c r="D765" s="2"/>
      <c r="E765" s="2"/>
      <c r="F765" s="2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2"/>
      <c r="T765" s="2"/>
      <c r="U765" s="2"/>
      <c r="V765" s="2"/>
      <c r="W765" s="2"/>
      <c r="X765" s="2"/>
      <c r="Y765" s="3"/>
      <c r="Z765" s="3"/>
      <c r="AA765" s="2"/>
      <c r="AB765" s="2"/>
      <c r="AC765" s="2"/>
      <c r="AD765" s="2"/>
      <c r="AE765" s="2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4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</row>
    <row r="766" ht="15.75">
      <c r="A766" s="3"/>
      <c r="B766" s="2"/>
      <c r="C766" s="2"/>
      <c r="D766" s="2"/>
      <c r="E766" s="2"/>
      <c r="F766" s="2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2"/>
      <c r="T766" s="2"/>
      <c r="U766" s="2"/>
      <c r="V766" s="2"/>
      <c r="W766" s="2"/>
      <c r="X766" s="2"/>
      <c r="Y766" s="3"/>
      <c r="Z766" s="3"/>
      <c r="AA766" s="2"/>
      <c r="AB766" s="2"/>
      <c r="AC766" s="2"/>
      <c r="AD766" s="2"/>
      <c r="AE766" s="2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4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</row>
    <row r="767" ht="15.75">
      <c r="A767" s="3"/>
      <c r="B767" s="2"/>
      <c r="C767" s="2"/>
      <c r="D767" s="2"/>
      <c r="E767" s="2"/>
      <c r="F767" s="2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  <c r="S767" s="2"/>
      <c r="T767" s="2"/>
      <c r="U767" s="2"/>
      <c r="V767" s="2"/>
      <c r="W767" s="2"/>
      <c r="X767" s="2"/>
      <c r="Y767" s="3"/>
      <c r="Z767" s="3"/>
      <c r="AA767" s="2"/>
      <c r="AB767" s="2"/>
      <c r="AC767" s="2"/>
      <c r="AD767" s="2"/>
      <c r="AE767" s="2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4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</row>
    <row r="768" ht="15.75">
      <c r="A768" s="3"/>
      <c r="B768" s="2"/>
      <c r="C768" s="2"/>
      <c r="D768" s="2"/>
      <c r="E768" s="2"/>
      <c r="F768" s="2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2"/>
      <c r="T768" s="2"/>
      <c r="U768" s="2"/>
      <c r="V768" s="2"/>
      <c r="W768" s="2"/>
      <c r="X768" s="2"/>
      <c r="Y768" s="3"/>
      <c r="Z768" s="3"/>
      <c r="AA768" s="2"/>
      <c r="AB768" s="2"/>
      <c r="AC768" s="2"/>
      <c r="AD768" s="2"/>
      <c r="AE768" s="2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4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</row>
    <row r="769" ht="15.75">
      <c r="A769" s="3"/>
      <c r="B769" s="2"/>
      <c r="C769" s="2"/>
      <c r="D769" s="2"/>
      <c r="E769" s="2"/>
      <c r="F769" s="2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2"/>
      <c r="T769" s="2"/>
      <c r="U769" s="2"/>
      <c r="V769" s="2"/>
      <c r="W769" s="2"/>
      <c r="X769" s="2"/>
      <c r="Y769" s="3"/>
      <c r="Z769" s="3"/>
      <c r="AA769" s="2"/>
      <c r="AB769" s="2"/>
      <c r="AC769" s="2"/>
      <c r="AD769" s="2"/>
      <c r="AE769" s="2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4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</row>
    <row r="770" ht="15.75">
      <c r="A770" s="3"/>
      <c r="B770" s="2"/>
      <c r="C770" s="2"/>
      <c r="D770" s="2"/>
      <c r="E770" s="2"/>
      <c r="F770" s="2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2"/>
      <c r="T770" s="2"/>
      <c r="U770" s="2"/>
      <c r="V770" s="2"/>
      <c r="W770" s="2"/>
      <c r="X770" s="2"/>
      <c r="Y770" s="3"/>
      <c r="Z770" s="3"/>
      <c r="AA770" s="2"/>
      <c r="AB770" s="2"/>
      <c r="AC770" s="2"/>
      <c r="AD770" s="2"/>
      <c r="AE770" s="2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4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</row>
    <row r="771" ht="15.75">
      <c r="A771" s="3"/>
      <c r="B771" s="2"/>
      <c r="C771" s="2"/>
      <c r="D771" s="2"/>
      <c r="E771" s="2"/>
      <c r="F771" s="2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2"/>
      <c r="T771" s="2"/>
      <c r="U771" s="2"/>
      <c r="V771" s="2"/>
      <c r="W771" s="2"/>
      <c r="X771" s="2"/>
      <c r="Y771" s="3"/>
      <c r="Z771" s="3"/>
      <c r="AA771" s="2"/>
      <c r="AB771" s="2"/>
      <c r="AC771" s="2"/>
      <c r="AD771" s="2"/>
      <c r="AE771" s="2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4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</row>
    <row r="772" ht="15.75">
      <c r="A772" s="3"/>
      <c r="B772" s="2"/>
      <c r="C772" s="2"/>
      <c r="D772" s="2"/>
      <c r="E772" s="2"/>
      <c r="F772" s="2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2"/>
      <c r="T772" s="2"/>
      <c r="U772" s="2"/>
      <c r="V772" s="2"/>
      <c r="W772" s="2"/>
      <c r="X772" s="2"/>
      <c r="Y772" s="3"/>
      <c r="Z772" s="3"/>
      <c r="AA772" s="2"/>
      <c r="AB772" s="2"/>
      <c r="AC772" s="2"/>
      <c r="AD772" s="2"/>
      <c r="AE772" s="2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4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</row>
    <row r="773" ht="15.75">
      <c r="A773" s="3"/>
      <c r="B773" s="2"/>
      <c r="C773" s="2"/>
      <c r="D773" s="2"/>
      <c r="E773" s="2"/>
      <c r="F773" s="2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2"/>
      <c r="T773" s="2"/>
      <c r="U773" s="2"/>
      <c r="V773" s="2"/>
      <c r="W773" s="2"/>
      <c r="X773" s="2"/>
      <c r="Y773" s="3"/>
      <c r="Z773" s="3"/>
      <c r="AA773" s="2"/>
      <c r="AB773" s="2"/>
      <c r="AC773" s="2"/>
      <c r="AD773" s="2"/>
      <c r="AE773" s="2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4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</row>
    <row r="774" ht="15.75">
      <c r="A774" s="3"/>
      <c r="B774" s="2"/>
      <c r="C774" s="2"/>
      <c r="D774" s="2"/>
      <c r="E774" s="2"/>
      <c r="F774" s="2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2"/>
      <c r="T774" s="2"/>
      <c r="U774" s="2"/>
      <c r="V774" s="2"/>
      <c r="W774" s="2"/>
      <c r="X774" s="2"/>
      <c r="Y774" s="3"/>
      <c r="Z774" s="3"/>
      <c r="AA774" s="2"/>
      <c r="AB774" s="2"/>
      <c r="AC774" s="2"/>
      <c r="AD774" s="2"/>
      <c r="AE774" s="2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4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</row>
    <row r="775" ht="15.75">
      <c r="A775" s="3"/>
      <c r="B775" s="2"/>
      <c r="C775" s="2"/>
      <c r="D775" s="2"/>
      <c r="E775" s="2"/>
      <c r="F775" s="2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2"/>
      <c r="T775" s="2"/>
      <c r="U775" s="2"/>
      <c r="V775" s="2"/>
      <c r="W775" s="2"/>
      <c r="X775" s="2"/>
      <c r="Y775" s="3"/>
      <c r="Z775" s="3"/>
      <c r="AA775" s="2"/>
      <c r="AB775" s="2"/>
      <c r="AC775" s="2"/>
      <c r="AD775" s="2"/>
      <c r="AE775" s="2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4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</row>
    <row r="776" ht="15.75">
      <c r="A776" s="3"/>
      <c r="B776" s="2"/>
      <c r="C776" s="2"/>
      <c r="D776" s="2"/>
      <c r="E776" s="2"/>
      <c r="F776" s="2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2"/>
      <c r="T776" s="2"/>
      <c r="U776" s="2"/>
      <c r="V776" s="2"/>
      <c r="W776" s="2"/>
      <c r="X776" s="2"/>
      <c r="Y776" s="3"/>
      <c r="Z776" s="3"/>
      <c r="AA776" s="2"/>
      <c r="AB776" s="2"/>
      <c r="AC776" s="2"/>
      <c r="AD776" s="2"/>
      <c r="AE776" s="2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4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</row>
    <row r="777" ht="15.75">
      <c r="A777" s="3"/>
      <c r="B777" s="2"/>
      <c r="C777" s="2"/>
      <c r="D777" s="2"/>
      <c r="E777" s="2"/>
      <c r="F777" s="2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2"/>
      <c r="T777" s="2"/>
      <c r="U777" s="2"/>
      <c r="V777" s="2"/>
      <c r="W777" s="2"/>
      <c r="X777" s="2"/>
      <c r="Y777" s="3"/>
      <c r="Z777" s="3"/>
      <c r="AA777" s="2"/>
      <c r="AB777" s="2"/>
      <c r="AC777" s="2"/>
      <c r="AD777" s="2"/>
      <c r="AE777" s="2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4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</row>
    <row r="778" ht="15.75">
      <c r="A778" s="3"/>
      <c r="B778" s="2"/>
      <c r="C778" s="2"/>
      <c r="D778" s="2"/>
      <c r="E778" s="2"/>
      <c r="F778" s="2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2"/>
      <c r="T778" s="2"/>
      <c r="U778" s="2"/>
      <c r="V778" s="2"/>
      <c r="W778" s="2"/>
      <c r="X778" s="2"/>
      <c r="Y778" s="3"/>
      <c r="Z778" s="3"/>
      <c r="AA778" s="2"/>
      <c r="AB778" s="2"/>
      <c r="AC778" s="2"/>
      <c r="AD778" s="2"/>
      <c r="AE778" s="2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4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</row>
    <row r="779" ht="15.75">
      <c r="A779" s="3"/>
      <c r="B779" s="2"/>
      <c r="C779" s="2"/>
      <c r="D779" s="2"/>
      <c r="E779" s="2"/>
      <c r="F779" s="2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2"/>
      <c r="T779" s="2"/>
      <c r="U779" s="2"/>
      <c r="V779" s="2"/>
      <c r="W779" s="2"/>
      <c r="X779" s="2"/>
      <c r="Y779" s="3"/>
      <c r="Z779" s="3"/>
      <c r="AA779" s="2"/>
      <c r="AB779" s="2"/>
      <c r="AC779" s="2"/>
      <c r="AD779" s="2"/>
      <c r="AE779" s="2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4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</row>
    <row r="780" ht="15.75">
      <c r="A780" s="3"/>
      <c r="B780" s="2"/>
      <c r="C780" s="2"/>
      <c r="D780" s="2"/>
      <c r="E780" s="2"/>
      <c r="F780" s="2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2"/>
      <c r="T780" s="2"/>
      <c r="U780" s="2"/>
      <c r="V780" s="2"/>
      <c r="W780" s="2"/>
      <c r="X780" s="2"/>
      <c r="Y780" s="3"/>
      <c r="Z780" s="3"/>
      <c r="AA780" s="2"/>
      <c r="AB780" s="2"/>
      <c r="AC780" s="2"/>
      <c r="AD780" s="2"/>
      <c r="AE780" s="2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4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</row>
    <row r="781" ht="15.75">
      <c r="A781" s="3"/>
      <c r="B781" s="2"/>
      <c r="C781" s="2"/>
      <c r="D781" s="2"/>
      <c r="E781" s="2"/>
      <c r="F781" s="2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2"/>
      <c r="T781" s="2"/>
      <c r="U781" s="2"/>
      <c r="V781" s="2"/>
      <c r="W781" s="2"/>
      <c r="X781" s="2"/>
      <c r="Y781" s="3"/>
      <c r="Z781" s="3"/>
      <c r="AA781" s="2"/>
      <c r="AB781" s="2"/>
      <c r="AC781" s="2"/>
      <c r="AD781" s="2"/>
      <c r="AE781" s="2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4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</row>
    <row r="782" ht="15.75">
      <c r="A782" s="3"/>
      <c r="B782" s="2"/>
      <c r="C782" s="2"/>
      <c r="D782" s="2"/>
      <c r="E782" s="2"/>
      <c r="F782" s="2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2"/>
      <c r="T782" s="2"/>
      <c r="U782" s="2"/>
      <c r="V782" s="2"/>
      <c r="W782" s="2"/>
      <c r="X782" s="2"/>
      <c r="Y782" s="3"/>
      <c r="Z782" s="3"/>
      <c r="AA782" s="2"/>
      <c r="AB782" s="2"/>
      <c r="AC782" s="2"/>
      <c r="AD782" s="2"/>
      <c r="AE782" s="2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4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</row>
    <row r="783" ht="15.75">
      <c r="A783" s="3"/>
      <c r="B783" s="2"/>
      <c r="C783" s="2"/>
      <c r="D783" s="2"/>
      <c r="E783" s="2"/>
      <c r="F783" s="2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2"/>
      <c r="T783" s="2"/>
      <c r="U783" s="2"/>
      <c r="V783" s="2"/>
      <c r="W783" s="2"/>
      <c r="X783" s="2"/>
      <c r="Y783" s="3"/>
      <c r="Z783" s="3"/>
      <c r="AA783" s="2"/>
      <c r="AB783" s="2"/>
      <c r="AC783" s="2"/>
      <c r="AD783" s="2"/>
      <c r="AE783" s="2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4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</row>
    <row r="784" ht="15.75">
      <c r="A784" s="3"/>
      <c r="B784" s="2"/>
      <c r="C784" s="2"/>
      <c r="D784" s="2"/>
      <c r="E784" s="2"/>
      <c r="F784" s="2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2"/>
      <c r="T784" s="2"/>
      <c r="U784" s="2"/>
      <c r="V784" s="2"/>
      <c r="W784" s="2"/>
      <c r="X784" s="2"/>
      <c r="Y784" s="3"/>
      <c r="Z784" s="3"/>
      <c r="AA784" s="2"/>
      <c r="AB784" s="2"/>
      <c r="AC784" s="2"/>
      <c r="AD784" s="2"/>
      <c r="AE784" s="2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4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</row>
    <row r="785" ht="15.75">
      <c r="A785" s="3"/>
      <c r="B785" s="2"/>
      <c r="C785" s="2"/>
      <c r="D785" s="2"/>
      <c r="E785" s="2"/>
      <c r="F785" s="2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2"/>
      <c r="T785" s="2"/>
      <c r="U785" s="2"/>
      <c r="V785" s="2"/>
      <c r="W785" s="2"/>
      <c r="X785" s="2"/>
      <c r="Y785" s="3"/>
      <c r="Z785" s="3"/>
      <c r="AA785" s="2"/>
      <c r="AB785" s="2"/>
      <c r="AC785" s="2"/>
      <c r="AD785" s="2"/>
      <c r="AE785" s="2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4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</row>
    <row r="786" ht="15.75">
      <c r="A786" s="3"/>
      <c r="B786" s="2"/>
      <c r="C786" s="2"/>
      <c r="D786" s="2"/>
      <c r="E786" s="2"/>
      <c r="F786" s="2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2"/>
      <c r="T786" s="2"/>
      <c r="U786" s="2"/>
      <c r="V786" s="2"/>
      <c r="W786" s="2"/>
      <c r="X786" s="2"/>
      <c r="Y786" s="3"/>
      <c r="Z786" s="3"/>
      <c r="AA786" s="2"/>
      <c r="AB786" s="2"/>
      <c r="AC786" s="2"/>
      <c r="AD786" s="2"/>
      <c r="AE786" s="2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4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</row>
    <row r="787" ht="15.75">
      <c r="A787" s="3"/>
      <c r="B787" s="2"/>
      <c r="C787" s="2"/>
      <c r="D787" s="2"/>
      <c r="E787" s="2"/>
      <c r="F787" s="2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2"/>
      <c r="T787" s="2"/>
      <c r="U787" s="2"/>
      <c r="V787" s="2"/>
      <c r="W787" s="2"/>
      <c r="X787" s="2"/>
      <c r="Y787" s="3"/>
      <c r="Z787" s="3"/>
      <c r="AA787" s="2"/>
      <c r="AB787" s="2"/>
      <c r="AC787" s="2"/>
      <c r="AD787" s="2"/>
      <c r="AE787" s="2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4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</row>
    <row r="788" ht="15.75">
      <c r="A788" s="3"/>
      <c r="B788" s="2"/>
      <c r="C788" s="2"/>
      <c r="D788" s="2"/>
      <c r="E788" s="2"/>
      <c r="F788" s="2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2"/>
      <c r="T788" s="2"/>
      <c r="U788" s="2"/>
      <c r="V788" s="2"/>
      <c r="W788" s="2"/>
      <c r="X788" s="2"/>
      <c r="Y788" s="3"/>
      <c r="Z788" s="3"/>
      <c r="AA788" s="2"/>
      <c r="AB788" s="2"/>
      <c r="AC788" s="2"/>
      <c r="AD788" s="2"/>
      <c r="AE788" s="2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4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</row>
    <row r="789" ht="15.75">
      <c r="A789" s="3"/>
      <c r="B789" s="2"/>
      <c r="C789" s="2"/>
      <c r="D789" s="2"/>
      <c r="E789" s="2"/>
      <c r="F789" s="2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2"/>
      <c r="T789" s="2"/>
      <c r="U789" s="2"/>
      <c r="V789" s="2"/>
      <c r="W789" s="2"/>
      <c r="X789" s="2"/>
      <c r="Y789" s="3"/>
      <c r="Z789" s="3"/>
      <c r="AA789" s="2"/>
      <c r="AB789" s="2"/>
      <c r="AC789" s="2"/>
      <c r="AD789" s="2"/>
      <c r="AE789" s="2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4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</row>
    <row r="790" ht="15.75">
      <c r="A790" s="3"/>
      <c r="B790" s="2"/>
      <c r="C790" s="2"/>
      <c r="D790" s="2"/>
      <c r="E790" s="2"/>
      <c r="F790" s="2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2"/>
      <c r="T790" s="2"/>
      <c r="U790" s="2"/>
      <c r="V790" s="2"/>
      <c r="W790" s="2"/>
      <c r="X790" s="2"/>
      <c r="Y790" s="3"/>
      <c r="Z790" s="3"/>
      <c r="AA790" s="2"/>
      <c r="AB790" s="2"/>
      <c r="AC790" s="2"/>
      <c r="AD790" s="2"/>
      <c r="AE790" s="2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4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</row>
    <row r="791" ht="15.75">
      <c r="A791" s="3"/>
      <c r="B791" s="2"/>
      <c r="C791" s="2"/>
      <c r="D791" s="2"/>
      <c r="E791" s="2"/>
      <c r="F791" s="2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2"/>
      <c r="T791" s="2"/>
      <c r="U791" s="2"/>
      <c r="V791" s="2"/>
      <c r="W791" s="2"/>
      <c r="X791" s="2"/>
      <c r="Y791" s="3"/>
      <c r="Z791" s="3"/>
      <c r="AA791" s="2"/>
      <c r="AB791" s="2"/>
      <c r="AC791" s="2"/>
      <c r="AD791" s="2"/>
      <c r="AE791" s="2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4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</row>
    <row r="792" ht="15.75">
      <c r="A792" s="3"/>
      <c r="B792" s="2"/>
      <c r="C792" s="2"/>
      <c r="D792" s="2"/>
      <c r="E792" s="2"/>
      <c r="F792" s="2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2"/>
      <c r="T792" s="2"/>
      <c r="U792" s="2"/>
      <c r="V792" s="2"/>
      <c r="W792" s="2"/>
      <c r="X792" s="2"/>
      <c r="Y792" s="3"/>
      <c r="Z792" s="3"/>
      <c r="AA792" s="2"/>
      <c r="AB792" s="2"/>
      <c r="AC792" s="2"/>
      <c r="AD792" s="2"/>
      <c r="AE792" s="2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4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</row>
    <row r="793" ht="15.75">
      <c r="A793" s="3"/>
      <c r="B793" s="2"/>
      <c r="C793" s="2"/>
      <c r="D793" s="2"/>
      <c r="E793" s="2"/>
      <c r="F793" s="2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2"/>
      <c r="T793" s="2"/>
      <c r="U793" s="2"/>
      <c r="V793" s="2"/>
      <c r="W793" s="2"/>
      <c r="X793" s="2"/>
      <c r="Y793" s="3"/>
      <c r="Z793" s="3"/>
      <c r="AA793" s="2"/>
      <c r="AB793" s="2"/>
      <c r="AC793" s="2"/>
      <c r="AD793" s="2"/>
      <c r="AE793" s="2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4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</row>
    <row r="794" ht="15.75">
      <c r="A794" s="3"/>
      <c r="B794" s="2"/>
      <c r="C794" s="2"/>
      <c r="D794" s="2"/>
      <c r="E794" s="2"/>
      <c r="F794" s="2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2"/>
      <c r="T794" s="2"/>
      <c r="U794" s="2"/>
      <c r="V794" s="2"/>
      <c r="W794" s="2"/>
      <c r="X794" s="2"/>
      <c r="Y794" s="3"/>
      <c r="Z794" s="3"/>
      <c r="AA794" s="2"/>
      <c r="AB794" s="2"/>
      <c r="AC794" s="2"/>
      <c r="AD794" s="2"/>
      <c r="AE794" s="2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4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</row>
    <row r="795" ht="15.75">
      <c r="A795" s="3"/>
      <c r="B795" s="2"/>
      <c r="C795" s="2"/>
      <c r="D795" s="2"/>
      <c r="E795" s="2"/>
      <c r="F795" s="2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2"/>
      <c r="T795" s="2"/>
      <c r="U795" s="2"/>
      <c r="V795" s="2"/>
      <c r="W795" s="2"/>
      <c r="X795" s="2"/>
      <c r="Y795" s="3"/>
      <c r="Z795" s="3"/>
      <c r="AA795" s="2"/>
      <c r="AB795" s="2"/>
      <c r="AC795" s="2"/>
      <c r="AD795" s="2"/>
      <c r="AE795" s="2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4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</row>
    <row r="796" ht="15.75">
      <c r="A796" s="3"/>
      <c r="B796" s="2"/>
      <c r="C796" s="2"/>
      <c r="D796" s="2"/>
      <c r="E796" s="2"/>
      <c r="F796" s="2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2"/>
      <c r="T796" s="2"/>
      <c r="U796" s="2"/>
      <c r="V796" s="2"/>
      <c r="W796" s="2"/>
      <c r="X796" s="2"/>
      <c r="Y796" s="3"/>
      <c r="Z796" s="3"/>
      <c r="AA796" s="2"/>
      <c r="AB796" s="2"/>
      <c r="AC796" s="2"/>
      <c r="AD796" s="2"/>
      <c r="AE796" s="2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4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</row>
    <row r="797" ht="15.75">
      <c r="A797" s="3"/>
      <c r="B797" s="2"/>
      <c r="C797" s="2"/>
      <c r="D797" s="2"/>
      <c r="E797" s="2"/>
      <c r="F797" s="2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2"/>
      <c r="T797" s="2"/>
      <c r="U797" s="2"/>
      <c r="V797" s="2"/>
      <c r="W797" s="2"/>
      <c r="X797" s="2"/>
      <c r="Y797" s="3"/>
      <c r="Z797" s="3"/>
      <c r="AA797" s="2"/>
      <c r="AB797" s="2"/>
      <c r="AC797" s="2"/>
      <c r="AD797" s="2"/>
      <c r="AE797" s="2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4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</row>
    <row r="798" ht="15.75">
      <c r="A798" s="3"/>
      <c r="B798" s="2"/>
      <c r="C798" s="2"/>
      <c r="D798" s="2"/>
      <c r="E798" s="2"/>
      <c r="F798" s="2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2"/>
      <c r="T798" s="2"/>
      <c r="U798" s="2"/>
      <c r="V798" s="2"/>
      <c r="W798" s="2"/>
      <c r="X798" s="2"/>
      <c r="Y798" s="3"/>
      <c r="Z798" s="3"/>
      <c r="AA798" s="2"/>
      <c r="AB798" s="2"/>
      <c r="AC798" s="2"/>
      <c r="AD798" s="2"/>
      <c r="AE798" s="2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4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</row>
    <row r="799" ht="15.75">
      <c r="A799" s="3"/>
      <c r="B799" s="2"/>
      <c r="C799" s="2"/>
      <c r="D799" s="2"/>
      <c r="E799" s="2"/>
      <c r="F799" s="2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2"/>
      <c r="T799" s="2"/>
      <c r="U799" s="2"/>
      <c r="V799" s="2"/>
      <c r="W799" s="2"/>
      <c r="X799" s="2"/>
      <c r="Y799" s="3"/>
      <c r="Z799" s="3"/>
      <c r="AA799" s="2"/>
      <c r="AB799" s="2"/>
      <c r="AC799" s="2"/>
      <c r="AD799" s="2"/>
      <c r="AE799" s="2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4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</row>
    <row r="800" ht="15.75">
      <c r="A800" s="3"/>
      <c r="B800" s="2"/>
      <c r="C800" s="2"/>
      <c r="D800" s="2"/>
      <c r="E800" s="2"/>
      <c r="F800" s="2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2"/>
      <c r="T800" s="2"/>
      <c r="U800" s="2"/>
      <c r="V800" s="2"/>
      <c r="W800" s="2"/>
      <c r="X800" s="2"/>
      <c r="Y800" s="3"/>
      <c r="Z800" s="3"/>
      <c r="AA800" s="2"/>
      <c r="AB800" s="2"/>
      <c r="AC800" s="2"/>
      <c r="AD800" s="2"/>
      <c r="AE800" s="2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4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</row>
    <row r="801" ht="15.75">
      <c r="A801" s="3"/>
      <c r="B801" s="2"/>
      <c r="C801" s="2"/>
      <c r="D801" s="2"/>
      <c r="E801" s="2"/>
      <c r="F801" s="2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2"/>
      <c r="T801" s="2"/>
      <c r="U801" s="2"/>
      <c r="V801" s="2"/>
      <c r="W801" s="2"/>
      <c r="X801" s="2"/>
      <c r="Y801" s="3"/>
      <c r="Z801" s="3"/>
      <c r="AA801" s="2"/>
      <c r="AB801" s="2"/>
      <c r="AC801" s="2"/>
      <c r="AD801" s="2"/>
      <c r="AE801" s="2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4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</row>
    <row r="802" ht="15.75">
      <c r="A802" s="3"/>
      <c r="B802" s="2"/>
      <c r="C802" s="2"/>
      <c r="D802" s="2"/>
      <c r="E802" s="2"/>
      <c r="F802" s="2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2"/>
      <c r="T802" s="2"/>
      <c r="U802" s="2"/>
      <c r="V802" s="2"/>
      <c r="W802" s="2"/>
      <c r="X802" s="2"/>
      <c r="Y802" s="3"/>
      <c r="Z802" s="3"/>
      <c r="AA802" s="2"/>
      <c r="AB802" s="2"/>
      <c r="AC802" s="2"/>
      <c r="AD802" s="2"/>
      <c r="AE802" s="2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4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</row>
    <row r="803" ht="15.75">
      <c r="A803" s="3"/>
      <c r="B803" s="2"/>
      <c r="C803" s="2"/>
      <c r="D803" s="2"/>
      <c r="E803" s="2"/>
      <c r="F803" s="2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  <c r="S803" s="2"/>
      <c r="T803" s="2"/>
      <c r="U803" s="2"/>
      <c r="V803" s="2"/>
      <c r="W803" s="2"/>
      <c r="X803" s="2"/>
      <c r="Y803" s="3"/>
      <c r="Z803" s="3"/>
      <c r="AA803" s="2"/>
      <c r="AB803" s="2"/>
      <c r="AC803" s="2"/>
      <c r="AD803" s="2"/>
      <c r="AE803" s="2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4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</row>
    <row r="804" ht="15.75">
      <c r="A804" s="3"/>
      <c r="B804" s="2"/>
      <c r="C804" s="2"/>
      <c r="D804" s="2"/>
      <c r="E804" s="2"/>
      <c r="F804" s="2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  <c r="S804" s="2"/>
      <c r="T804" s="2"/>
      <c r="U804" s="2"/>
      <c r="V804" s="2"/>
      <c r="W804" s="2"/>
      <c r="X804" s="2"/>
      <c r="Y804" s="3"/>
      <c r="Z804" s="3"/>
      <c r="AA804" s="2"/>
      <c r="AB804" s="2"/>
      <c r="AC804" s="2"/>
      <c r="AD804" s="2"/>
      <c r="AE804" s="2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4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</row>
    <row r="805" ht="15.75">
      <c r="A805" s="3"/>
      <c r="B805" s="2"/>
      <c r="C805" s="2"/>
      <c r="D805" s="2"/>
      <c r="E805" s="2"/>
      <c r="F805" s="2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2"/>
      <c r="T805" s="2"/>
      <c r="U805" s="2"/>
      <c r="V805" s="2"/>
      <c r="W805" s="2"/>
      <c r="X805" s="2"/>
      <c r="Y805" s="3"/>
      <c r="Z805" s="3"/>
      <c r="AA805" s="2"/>
      <c r="AB805" s="2"/>
      <c r="AC805" s="2"/>
      <c r="AD805" s="2"/>
      <c r="AE805" s="2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4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</row>
    <row r="806" ht="15.75">
      <c r="A806" s="3"/>
      <c r="B806" s="2"/>
      <c r="C806" s="2"/>
      <c r="D806" s="2"/>
      <c r="E806" s="2"/>
      <c r="F806" s="2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2"/>
      <c r="T806" s="2"/>
      <c r="U806" s="2"/>
      <c r="V806" s="2"/>
      <c r="W806" s="2"/>
      <c r="X806" s="2"/>
      <c r="Y806" s="3"/>
      <c r="Z806" s="3"/>
      <c r="AA806" s="2"/>
      <c r="AB806" s="2"/>
      <c r="AC806" s="2"/>
      <c r="AD806" s="2"/>
      <c r="AE806" s="2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4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</row>
    <row r="807" ht="15.75">
      <c r="A807" s="3"/>
      <c r="B807" s="2"/>
      <c r="C807" s="2"/>
      <c r="D807" s="2"/>
      <c r="E807" s="2"/>
      <c r="F807" s="2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2"/>
      <c r="T807" s="2"/>
      <c r="U807" s="2"/>
      <c r="V807" s="2"/>
      <c r="W807" s="2"/>
      <c r="X807" s="2"/>
      <c r="Y807" s="3"/>
      <c r="Z807" s="3"/>
      <c r="AA807" s="2"/>
      <c r="AB807" s="2"/>
      <c r="AC807" s="2"/>
      <c r="AD807" s="2"/>
      <c r="AE807" s="2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4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</row>
    <row r="808" ht="15.75">
      <c r="A808" s="3"/>
      <c r="B808" s="2"/>
      <c r="C808" s="2"/>
      <c r="D808" s="2"/>
      <c r="E808" s="2"/>
      <c r="F808" s="2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  <c r="S808" s="2"/>
      <c r="T808" s="2"/>
      <c r="U808" s="2"/>
      <c r="V808" s="2"/>
      <c r="W808" s="2"/>
      <c r="X808" s="2"/>
      <c r="Y808" s="3"/>
      <c r="Z808" s="3"/>
      <c r="AA808" s="2"/>
      <c r="AB808" s="2"/>
      <c r="AC808" s="2"/>
      <c r="AD808" s="2"/>
      <c r="AE808" s="2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4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</row>
    <row r="809" ht="15.75">
      <c r="A809" s="3"/>
      <c r="B809" s="2"/>
      <c r="C809" s="2"/>
      <c r="D809" s="2"/>
      <c r="E809" s="2"/>
      <c r="F809" s="2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2"/>
      <c r="T809" s="2"/>
      <c r="U809" s="2"/>
      <c r="V809" s="2"/>
      <c r="W809" s="2"/>
      <c r="X809" s="2"/>
      <c r="Y809" s="3"/>
      <c r="Z809" s="3"/>
      <c r="AA809" s="2"/>
      <c r="AB809" s="2"/>
      <c r="AC809" s="2"/>
      <c r="AD809" s="2"/>
      <c r="AE809" s="2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4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</row>
    <row r="810" ht="15.75">
      <c r="A810" s="3"/>
      <c r="B810" s="2"/>
      <c r="C810" s="2"/>
      <c r="D810" s="2"/>
      <c r="E810" s="2"/>
      <c r="F810" s="2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2"/>
      <c r="T810" s="2"/>
      <c r="U810" s="2"/>
      <c r="V810" s="2"/>
      <c r="W810" s="2"/>
      <c r="X810" s="2"/>
      <c r="Y810" s="3"/>
      <c r="Z810" s="3"/>
      <c r="AA810" s="2"/>
      <c r="AB810" s="2"/>
      <c r="AC810" s="2"/>
      <c r="AD810" s="2"/>
      <c r="AE810" s="2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4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</row>
    <row r="811" ht="15.75">
      <c r="A811" s="3"/>
      <c r="B811" s="2"/>
      <c r="C811" s="2"/>
      <c r="D811" s="2"/>
      <c r="E811" s="2"/>
      <c r="F811" s="2"/>
      <c r="G811" s="2"/>
      <c r="H811" s="2"/>
      <c r="I811" s="2"/>
      <c r="J811" s="3"/>
      <c r="K811" s="3"/>
      <c r="L811" s="3"/>
      <c r="M811" s="3"/>
      <c r="N811" s="3"/>
      <c r="O811" s="3"/>
      <c r="P811" s="3"/>
      <c r="Q811" s="3"/>
      <c r="R811" s="3"/>
      <c r="S811" s="2"/>
      <c r="T811" s="2"/>
      <c r="U811" s="2"/>
      <c r="V811" s="2"/>
      <c r="W811" s="2"/>
      <c r="X811" s="2"/>
      <c r="Y811" s="3"/>
      <c r="Z811" s="3"/>
      <c r="AA811" s="2"/>
      <c r="AB811" s="2"/>
      <c r="AC811" s="2"/>
      <c r="AD811" s="2"/>
      <c r="AE811" s="2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4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</row>
    <row r="812" ht="15.75">
      <c r="A812" s="3"/>
      <c r="B812" s="2"/>
      <c r="C812" s="2"/>
      <c r="D812" s="2"/>
      <c r="E812" s="2"/>
      <c r="F812" s="2"/>
      <c r="G812" s="2"/>
      <c r="H812" s="2"/>
      <c r="I812" s="2"/>
      <c r="J812" s="3"/>
      <c r="K812" s="3"/>
      <c r="L812" s="3"/>
      <c r="M812" s="3"/>
      <c r="N812" s="3"/>
      <c r="O812" s="3"/>
      <c r="P812" s="3"/>
      <c r="Q812" s="3"/>
      <c r="R812" s="3"/>
      <c r="S812" s="2"/>
      <c r="T812" s="2"/>
      <c r="U812" s="2"/>
      <c r="V812" s="2"/>
      <c r="W812" s="2"/>
      <c r="X812" s="2"/>
      <c r="Y812" s="3"/>
      <c r="Z812" s="3"/>
      <c r="AA812" s="2"/>
      <c r="AB812" s="2"/>
      <c r="AC812" s="2"/>
      <c r="AD812" s="2"/>
      <c r="AE812" s="2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4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</row>
    <row r="813" ht="15.75">
      <c r="A813" s="3"/>
      <c r="B813" s="2"/>
      <c r="C813" s="2"/>
      <c r="D813" s="2"/>
      <c r="E813" s="2"/>
      <c r="F813" s="2"/>
      <c r="G813" s="2"/>
      <c r="H813" s="2"/>
      <c r="I813" s="2"/>
      <c r="J813" s="3"/>
      <c r="K813" s="3"/>
      <c r="L813" s="3"/>
      <c r="M813" s="3"/>
      <c r="N813" s="3"/>
      <c r="O813" s="3"/>
      <c r="P813" s="3"/>
      <c r="Q813" s="3"/>
      <c r="R813" s="3"/>
      <c r="S813" s="2"/>
      <c r="T813" s="2"/>
      <c r="U813" s="2"/>
      <c r="V813" s="2"/>
      <c r="W813" s="2"/>
      <c r="X813" s="2"/>
      <c r="Y813" s="3"/>
      <c r="Z813" s="3"/>
      <c r="AA813" s="2"/>
      <c r="AB813" s="2"/>
      <c r="AC813" s="2"/>
      <c r="AD813" s="2"/>
      <c r="AE813" s="2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4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</row>
    <row r="814" ht="15.75">
      <c r="A814" s="3"/>
      <c r="B814" s="2"/>
      <c r="C814" s="2"/>
      <c r="D814" s="2"/>
      <c r="E814" s="2"/>
      <c r="F814" s="2"/>
      <c r="G814" s="2"/>
      <c r="H814" s="2"/>
      <c r="I814" s="2"/>
      <c r="J814" s="3"/>
      <c r="K814" s="3"/>
      <c r="L814" s="3"/>
      <c r="M814" s="3"/>
      <c r="N814" s="3"/>
      <c r="O814" s="3"/>
      <c r="P814" s="3"/>
      <c r="Q814" s="3"/>
      <c r="R814" s="3"/>
      <c r="S814" s="2"/>
      <c r="T814" s="2"/>
      <c r="U814" s="2"/>
      <c r="V814" s="2"/>
      <c r="W814" s="2"/>
      <c r="X814" s="2"/>
      <c r="Y814" s="3"/>
      <c r="Z814" s="3"/>
      <c r="AA814" s="2"/>
      <c r="AB814" s="2"/>
      <c r="AC814" s="2"/>
      <c r="AD814" s="2"/>
      <c r="AE814" s="2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4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</row>
    <row r="815" ht="15.75">
      <c r="A815" s="3"/>
      <c r="B815" s="2"/>
      <c r="C815" s="2"/>
      <c r="D815" s="2"/>
      <c r="E815" s="2"/>
      <c r="F815" s="2"/>
      <c r="G815" s="2"/>
      <c r="H815" s="2"/>
      <c r="I815" s="2"/>
      <c r="J815" s="3"/>
      <c r="K815" s="3"/>
      <c r="L815" s="3"/>
      <c r="M815" s="3"/>
      <c r="N815" s="3"/>
      <c r="O815" s="3"/>
      <c r="P815" s="3"/>
      <c r="Q815" s="3"/>
      <c r="R815" s="3"/>
      <c r="S815" s="2"/>
      <c r="T815" s="2"/>
      <c r="U815" s="2"/>
      <c r="V815" s="2"/>
      <c r="W815" s="2"/>
      <c r="X815" s="2"/>
      <c r="Y815" s="3"/>
      <c r="Z815" s="3"/>
      <c r="AA815" s="2"/>
      <c r="AB815" s="2"/>
      <c r="AC815" s="2"/>
      <c r="AD815" s="2"/>
      <c r="AE815" s="2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4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</row>
    <row r="816" ht="15.75">
      <c r="A816" s="3"/>
      <c r="B816" s="2"/>
      <c r="C816" s="2"/>
      <c r="D816" s="2"/>
      <c r="E816" s="2"/>
      <c r="F816" s="2"/>
      <c r="G816" s="2"/>
      <c r="H816" s="2"/>
      <c r="I816" s="2"/>
      <c r="J816" s="3"/>
      <c r="K816" s="3"/>
      <c r="L816" s="3"/>
      <c r="M816" s="3"/>
      <c r="N816" s="3"/>
      <c r="O816" s="3"/>
      <c r="P816" s="3"/>
      <c r="Q816" s="3"/>
      <c r="R816" s="3"/>
      <c r="S816" s="2"/>
      <c r="T816" s="2"/>
      <c r="U816" s="2"/>
      <c r="V816" s="2"/>
      <c r="W816" s="2"/>
      <c r="X816" s="2"/>
      <c r="Y816" s="3"/>
      <c r="Z816" s="3"/>
      <c r="AA816" s="2"/>
      <c r="AB816" s="2"/>
      <c r="AC816" s="2"/>
      <c r="AD816" s="2"/>
      <c r="AE816" s="2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4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</row>
    <row r="817" ht="15.75">
      <c r="A817" s="3"/>
      <c r="B817" s="2"/>
      <c r="C817" s="2"/>
      <c r="D817" s="2"/>
      <c r="E817" s="2"/>
      <c r="F817" s="2"/>
      <c r="G817" s="2"/>
      <c r="H817" s="2"/>
      <c r="I817" s="2"/>
      <c r="J817" s="3"/>
      <c r="K817" s="3"/>
      <c r="L817" s="3"/>
      <c r="M817" s="3"/>
      <c r="N817" s="3"/>
      <c r="O817" s="3"/>
      <c r="P817" s="3"/>
      <c r="Q817" s="3"/>
      <c r="R817" s="3"/>
      <c r="S817" s="2"/>
      <c r="T817" s="2"/>
      <c r="U817" s="2"/>
      <c r="V817" s="2"/>
      <c r="W817" s="2"/>
      <c r="X817" s="2"/>
      <c r="Y817" s="3"/>
      <c r="Z817" s="3"/>
      <c r="AA817" s="2"/>
      <c r="AB817" s="2"/>
      <c r="AC817" s="2"/>
      <c r="AD817" s="2"/>
      <c r="AE817" s="2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4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</row>
    <row r="818" ht="15.75">
      <c r="A818" s="3"/>
      <c r="B818" s="2"/>
      <c r="C818" s="2"/>
      <c r="D818" s="2"/>
      <c r="E818" s="2"/>
      <c r="F818" s="2"/>
      <c r="G818" s="2"/>
      <c r="H818" s="2"/>
      <c r="I818" s="2"/>
      <c r="J818" s="3"/>
      <c r="K818" s="3"/>
      <c r="L818" s="3"/>
      <c r="M818" s="3"/>
      <c r="N818" s="3"/>
      <c r="O818" s="3"/>
      <c r="P818" s="3"/>
      <c r="Q818" s="3"/>
      <c r="R818" s="3"/>
      <c r="S818" s="2"/>
      <c r="T818" s="2"/>
      <c r="U818" s="2"/>
      <c r="V818" s="2"/>
      <c r="W818" s="2"/>
      <c r="X818" s="2"/>
      <c r="Y818" s="3"/>
      <c r="Z818" s="3"/>
      <c r="AA818" s="2"/>
      <c r="AB818" s="2"/>
      <c r="AC818" s="2"/>
      <c r="AD818" s="2"/>
      <c r="AE818" s="2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4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</row>
    <row r="819" ht="15.75">
      <c r="A819" s="3"/>
      <c r="B819" s="2"/>
      <c r="C819" s="2"/>
      <c r="D819" s="2"/>
      <c r="E819" s="2"/>
      <c r="F819" s="2"/>
      <c r="G819" s="2"/>
      <c r="H819" s="2"/>
      <c r="I819" s="2"/>
      <c r="J819" s="3"/>
      <c r="K819" s="3"/>
      <c r="L819" s="3"/>
      <c r="M819" s="3"/>
      <c r="N819" s="3"/>
      <c r="O819" s="3"/>
      <c r="P819" s="3"/>
      <c r="Q819" s="3"/>
      <c r="R819" s="3"/>
      <c r="S819" s="2"/>
      <c r="T819" s="2"/>
      <c r="U819" s="2"/>
      <c r="V819" s="2"/>
      <c r="W819" s="2"/>
      <c r="X819" s="2"/>
      <c r="Y819" s="3"/>
      <c r="Z819" s="3"/>
      <c r="AA819" s="2"/>
      <c r="AB819" s="2"/>
      <c r="AC819" s="2"/>
      <c r="AD819" s="2"/>
      <c r="AE819" s="2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4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</row>
    <row r="820" ht="15.75">
      <c r="A820" s="3"/>
      <c r="B820" s="2"/>
      <c r="C820" s="2"/>
      <c r="D820" s="2"/>
      <c r="E820" s="2"/>
      <c r="F820" s="2"/>
      <c r="G820" s="2"/>
      <c r="H820" s="2"/>
      <c r="I820" s="2"/>
      <c r="J820" s="3"/>
      <c r="K820" s="3"/>
      <c r="L820" s="3"/>
      <c r="M820" s="3"/>
      <c r="N820" s="3"/>
      <c r="O820" s="3"/>
      <c r="P820" s="3"/>
      <c r="Q820" s="3"/>
      <c r="R820" s="3"/>
      <c r="S820" s="2"/>
      <c r="T820" s="2"/>
      <c r="U820" s="2"/>
      <c r="V820" s="2"/>
      <c r="W820" s="2"/>
      <c r="X820" s="2"/>
      <c r="Y820" s="3"/>
      <c r="Z820" s="3"/>
      <c r="AA820" s="2"/>
      <c r="AB820" s="2"/>
      <c r="AC820" s="2"/>
      <c r="AD820" s="2"/>
      <c r="AE820" s="2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4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</row>
    <row r="821" ht="15.75">
      <c r="A821" s="3"/>
      <c r="B821" s="2"/>
      <c r="C821" s="2"/>
      <c r="D821" s="2"/>
      <c r="E821" s="2"/>
      <c r="F821" s="2"/>
      <c r="G821" s="2"/>
      <c r="H821" s="2"/>
      <c r="I821" s="2"/>
      <c r="J821" s="3"/>
      <c r="K821" s="3"/>
      <c r="L821" s="3"/>
      <c r="M821" s="3"/>
      <c r="N821" s="3"/>
      <c r="O821" s="3"/>
      <c r="P821" s="3"/>
      <c r="Q821" s="3"/>
      <c r="R821" s="3"/>
      <c r="S821" s="2"/>
      <c r="T821" s="2"/>
      <c r="U821" s="2"/>
      <c r="V821" s="2"/>
      <c r="W821" s="2"/>
      <c r="X821" s="2"/>
      <c r="Y821" s="3"/>
      <c r="Z821" s="3"/>
      <c r="AA821" s="2"/>
      <c r="AB821" s="2"/>
      <c r="AC821" s="2"/>
      <c r="AD821" s="2"/>
      <c r="AE821" s="2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4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</row>
    <row r="822" ht="15.75">
      <c r="A822" s="3"/>
      <c r="B822" s="2"/>
      <c r="C822" s="2"/>
      <c r="D822" s="2"/>
      <c r="E822" s="2"/>
      <c r="F822" s="2"/>
      <c r="G822" s="2"/>
      <c r="H822" s="2"/>
      <c r="I822" s="2"/>
      <c r="J822" s="3"/>
      <c r="K822" s="3"/>
      <c r="L822" s="3"/>
      <c r="M822" s="3"/>
      <c r="N822" s="3"/>
      <c r="O822" s="3"/>
      <c r="P822" s="3"/>
      <c r="Q822" s="3"/>
      <c r="R822" s="3"/>
      <c r="S822" s="2"/>
      <c r="T822" s="2"/>
      <c r="U822" s="2"/>
      <c r="V822" s="2"/>
      <c r="W822" s="2"/>
      <c r="X822" s="2"/>
      <c r="Y822" s="3"/>
      <c r="Z822" s="3"/>
      <c r="AA822" s="2"/>
      <c r="AB822" s="2"/>
      <c r="AC822" s="2"/>
      <c r="AD822" s="2"/>
      <c r="AE822" s="2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4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</row>
    <row r="823" ht="15.75">
      <c r="A823" s="3"/>
      <c r="B823" s="2"/>
      <c r="C823" s="2"/>
      <c r="D823" s="2"/>
      <c r="E823" s="2"/>
      <c r="F823" s="2"/>
      <c r="G823" s="2"/>
      <c r="H823" s="2"/>
      <c r="I823" s="2"/>
      <c r="J823" s="3"/>
      <c r="K823" s="3"/>
      <c r="L823" s="3"/>
      <c r="M823" s="3"/>
      <c r="N823" s="3"/>
      <c r="O823" s="3"/>
      <c r="P823" s="3"/>
      <c r="Q823" s="3"/>
      <c r="R823" s="3"/>
      <c r="S823" s="2"/>
      <c r="T823" s="2"/>
      <c r="U823" s="2"/>
      <c r="V823" s="2"/>
      <c r="W823" s="2"/>
      <c r="X823" s="2"/>
      <c r="Y823" s="3"/>
      <c r="Z823" s="3"/>
      <c r="AA823" s="2"/>
      <c r="AB823" s="2"/>
      <c r="AC823" s="2"/>
      <c r="AD823" s="2"/>
      <c r="AE823" s="2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4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</row>
    <row r="824" ht="15.75">
      <c r="A824" s="3"/>
      <c r="B824" s="2"/>
      <c r="C824" s="2"/>
      <c r="D824" s="2"/>
      <c r="E824" s="2"/>
      <c r="F824" s="2"/>
      <c r="G824" s="2"/>
      <c r="H824" s="2"/>
      <c r="I824" s="2"/>
      <c r="J824" s="3"/>
      <c r="K824" s="3"/>
      <c r="L824" s="3"/>
      <c r="M824" s="3"/>
      <c r="N824" s="3"/>
      <c r="O824" s="3"/>
      <c r="P824" s="3"/>
      <c r="Q824" s="3"/>
      <c r="R824" s="3"/>
      <c r="S824" s="2"/>
      <c r="T824" s="2"/>
      <c r="U824" s="2"/>
      <c r="V824" s="2"/>
      <c r="W824" s="2"/>
      <c r="X824" s="2"/>
      <c r="Y824" s="3"/>
      <c r="Z824" s="3"/>
      <c r="AA824" s="2"/>
      <c r="AB824" s="2"/>
      <c r="AC824" s="2"/>
      <c r="AD824" s="2"/>
      <c r="AE824" s="2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4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</row>
    <row r="825" ht="15.75">
      <c r="A825" s="3"/>
      <c r="B825" s="2"/>
      <c r="C825" s="2"/>
      <c r="D825" s="2"/>
      <c r="E825" s="2"/>
      <c r="F825" s="2"/>
      <c r="G825" s="2"/>
      <c r="H825" s="2"/>
      <c r="I825" s="2"/>
      <c r="J825" s="3"/>
      <c r="K825" s="3"/>
      <c r="L825" s="3"/>
      <c r="M825" s="3"/>
      <c r="N825" s="3"/>
      <c r="O825" s="3"/>
      <c r="P825" s="3"/>
      <c r="Q825" s="3"/>
      <c r="R825" s="3"/>
      <c r="S825" s="2"/>
      <c r="T825" s="2"/>
      <c r="U825" s="2"/>
      <c r="V825" s="2"/>
      <c r="W825" s="2"/>
      <c r="X825" s="2"/>
      <c r="Y825" s="3"/>
      <c r="Z825" s="3"/>
      <c r="AA825" s="2"/>
      <c r="AB825" s="2"/>
      <c r="AC825" s="2"/>
      <c r="AD825" s="2"/>
      <c r="AE825" s="2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4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</row>
    <row r="826" ht="15.75">
      <c r="A826" s="3"/>
      <c r="B826" s="2"/>
      <c r="C826" s="2"/>
      <c r="D826" s="2"/>
      <c r="E826" s="2"/>
      <c r="F826" s="2"/>
      <c r="G826" s="2"/>
      <c r="H826" s="2"/>
      <c r="I826" s="2"/>
      <c r="J826" s="3"/>
      <c r="K826" s="3"/>
      <c r="L826" s="3"/>
      <c r="M826" s="3"/>
      <c r="N826" s="3"/>
      <c r="O826" s="3"/>
      <c r="P826" s="3"/>
      <c r="Q826" s="3"/>
      <c r="R826" s="3"/>
      <c r="S826" s="2"/>
      <c r="T826" s="2"/>
      <c r="U826" s="2"/>
      <c r="V826" s="2"/>
      <c r="W826" s="2"/>
      <c r="X826" s="2"/>
      <c r="Y826" s="3"/>
      <c r="Z826" s="3"/>
      <c r="AA826" s="2"/>
      <c r="AB826" s="2"/>
      <c r="AC826" s="2"/>
      <c r="AD826" s="2"/>
      <c r="AE826" s="2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4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</row>
    <row r="827" ht="15.75">
      <c r="A827" s="3"/>
      <c r="B827" s="2"/>
      <c r="C827" s="2"/>
      <c r="D827" s="2"/>
      <c r="E827" s="2"/>
      <c r="F827" s="2"/>
      <c r="G827" s="2"/>
      <c r="H827" s="2"/>
      <c r="I827" s="2"/>
      <c r="J827" s="3"/>
      <c r="K827" s="3"/>
      <c r="L827" s="3"/>
      <c r="M827" s="3"/>
      <c r="N827" s="3"/>
      <c r="O827" s="3"/>
      <c r="P827" s="3"/>
      <c r="Q827" s="3"/>
      <c r="R827" s="3"/>
      <c r="S827" s="2"/>
      <c r="T827" s="2"/>
      <c r="U827" s="2"/>
      <c r="V827" s="2"/>
      <c r="W827" s="2"/>
      <c r="X827" s="2"/>
      <c r="Y827" s="3"/>
      <c r="Z827" s="3"/>
      <c r="AA827" s="2"/>
      <c r="AB827" s="2"/>
      <c r="AC827" s="2"/>
      <c r="AD827" s="2"/>
      <c r="AE827" s="2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4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</row>
    <row r="828" ht="15.75">
      <c r="A828" s="3"/>
      <c r="B828" s="2"/>
      <c r="C828" s="2"/>
      <c r="D828" s="2"/>
      <c r="E828" s="2"/>
      <c r="F828" s="2"/>
      <c r="G828" s="2"/>
      <c r="H828" s="2"/>
      <c r="I828" s="2"/>
      <c r="J828" s="3"/>
      <c r="K828" s="3"/>
      <c r="L828" s="3"/>
      <c r="M828" s="3"/>
      <c r="N828" s="3"/>
      <c r="O828" s="3"/>
      <c r="P828" s="3"/>
      <c r="Q828" s="3"/>
      <c r="R828" s="3"/>
      <c r="S828" s="2"/>
      <c r="T828" s="2"/>
      <c r="U828" s="2"/>
      <c r="V828" s="2"/>
      <c r="W828" s="2"/>
      <c r="X828" s="2"/>
      <c r="Y828" s="3"/>
      <c r="Z828" s="3"/>
      <c r="AA828" s="2"/>
      <c r="AB828" s="2"/>
      <c r="AC828" s="2"/>
      <c r="AD828" s="2"/>
      <c r="AE828" s="2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4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</row>
    <row r="829" ht="15.75">
      <c r="A829" s="3"/>
      <c r="B829" s="2"/>
      <c r="C829" s="2"/>
      <c r="D829" s="2"/>
      <c r="E829" s="2"/>
      <c r="F829" s="2"/>
      <c r="G829" s="2"/>
      <c r="H829" s="2"/>
      <c r="I829" s="2"/>
      <c r="J829" s="3"/>
      <c r="K829" s="3"/>
      <c r="L829" s="3"/>
      <c r="M829" s="3"/>
      <c r="N829" s="3"/>
      <c r="O829" s="3"/>
      <c r="P829" s="3"/>
      <c r="Q829" s="3"/>
      <c r="R829" s="3"/>
      <c r="S829" s="2"/>
      <c r="T829" s="2"/>
      <c r="U829" s="2"/>
      <c r="V829" s="2"/>
      <c r="W829" s="2"/>
      <c r="X829" s="2"/>
      <c r="Y829" s="3"/>
      <c r="Z829" s="3"/>
      <c r="AA829" s="2"/>
      <c r="AB829" s="2"/>
      <c r="AC829" s="2"/>
      <c r="AD829" s="2"/>
      <c r="AE829" s="2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4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</row>
    <row r="830" ht="15.75">
      <c r="A830" s="3"/>
      <c r="B830" s="2"/>
      <c r="C830" s="2"/>
      <c r="D830" s="2"/>
      <c r="E830" s="2"/>
      <c r="F830" s="2"/>
      <c r="G830" s="2"/>
      <c r="H830" s="2"/>
      <c r="I830" s="2"/>
      <c r="J830" s="3"/>
      <c r="K830" s="3"/>
      <c r="L830" s="3"/>
      <c r="M830" s="3"/>
      <c r="N830" s="3"/>
      <c r="O830" s="3"/>
      <c r="P830" s="3"/>
      <c r="Q830" s="3"/>
      <c r="R830" s="3"/>
      <c r="S830" s="2"/>
      <c r="T830" s="2"/>
      <c r="U830" s="2"/>
      <c r="V830" s="2"/>
      <c r="W830" s="2"/>
      <c r="X830" s="2"/>
      <c r="Y830" s="3"/>
      <c r="Z830" s="3"/>
      <c r="AA830" s="2"/>
      <c r="AB830" s="2"/>
      <c r="AC830" s="2"/>
      <c r="AD830" s="2"/>
      <c r="AE830" s="2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4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</row>
    <row r="831" ht="15.75">
      <c r="A831" s="3"/>
      <c r="B831" s="2"/>
      <c r="C831" s="2"/>
      <c r="D831" s="2"/>
      <c r="E831" s="2"/>
      <c r="F831" s="2"/>
      <c r="G831" s="2"/>
      <c r="H831" s="2"/>
      <c r="I831" s="2"/>
      <c r="J831" s="3"/>
      <c r="K831" s="3"/>
      <c r="L831" s="3"/>
      <c r="M831" s="3"/>
      <c r="N831" s="3"/>
      <c r="O831" s="3"/>
      <c r="P831" s="3"/>
      <c r="Q831" s="3"/>
      <c r="R831" s="3"/>
      <c r="S831" s="2"/>
      <c r="T831" s="2"/>
      <c r="U831" s="2"/>
      <c r="V831" s="2"/>
      <c r="W831" s="2"/>
      <c r="X831" s="2"/>
      <c r="Y831" s="3"/>
      <c r="Z831" s="3"/>
      <c r="AA831" s="2"/>
      <c r="AB831" s="2"/>
      <c r="AC831" s="2"/>
      <c r="AD831" s="2"/>
      <c r="AE831" s="2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4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</row>
    <row r="832" ht="15.75">
      <c r="A832" s="3"/>
      <c r="B832" s="2"/>
      <c r="C832" s="2"/>
      <c r="D832" s="2"/>
      <c r="E832" s="2"/>
      <c r="F832" s="2"/>
      <c r="G832" s="2"/>
      <c r="H832" s="2"/>
      <c r="I832" s="2"/>
      <c r="J832" s="3"/>
      <c r="K832" s="3"/>
      <c r="L832" s="3"/>
      <c r="M832" s="3"/>
      <c r="N832" s="3"/>
      <c r="O832" s="3"/>
      <c r="P832" s="3"/>
      <c r="Q832" s="3"/>
      <c r="R832" s="3"/>
      <c r="S832" s="2"/>
      <c r="T832" s="2"/>
      <c r="U832" s="2"/>
      <c r="V832" s="2"/>
      <c r="W832" s="2"/>
      <c r="X832" s="2"/>
      <c r="Y832" s="3"/>
      <c r="Z832" s="3"/>
      <c r="AA832" s="2"/>
      <c r="AB832" s="2"/>
      <c r="AC832" s="2"/>
      <c r="AD832" s="2"/>
      <c r="AE832" s="2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4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</row>
    <row r="833" ht="15.75">
      <c r="A833" s="3"/>
      <c r="B833" s="2"/>
      <c r="C833" s="2"/>
      <c r="D833" s="2"/>
      <c r="E833" s="2"/>
      <c r="F833" s="2"/>
      <c r="G833" s="2"/>
      <c r="H833" s="2"/>
      <c r="I833" s="2"/>
      <c r="J833" s="3"/>
      <c r="K833" s="3"/>
      <c r="L833" s="3"/>
      <c r="M833" s="3"/>
      <c r="N833" s="3"/>
      <c r="O833" s="3"/>
      <c r="P833" s="3"/>
      <c r="Q833" s="3"/>
      <c r="R833" s="3"/>
      <c r="S833" s="2"/>
      <c r="T833" s="2"/>
      <c r="U833" s="2"/>
      <c r="V833" s="2"/>
      <c r="W833" s="2"/>
      <c r="X833" s="2"/>
      <c r="Y833" s="3"/>
      <c r="Z833" s="3"/>
      <c r="AA833" s="2"/>
      <c r="AB833" s="2"/>
      <c r="AC833" s="2"/>
      <c r="AD833" s="2"/>
      <c r="AE833" s="2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4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</row>
    <row r="834" ht="15.75">
      <c r="A834" s="3"/>
      <c r="B834" s="2"/>
      <c r="C834" s="2"/>
      <c r="D834" s="2"/>
      <c r="E834" s="2"/>
      <c r="F834" s="2"/>
      <c r="G834" s="2"/>
      <c r="H834" s="2"/>
      <c r="I834" s="2"/>
      <c r="J834" s="3"/>
      <c r="K834" s="3"/>
      <c r="L834" s="3"/>
      <c r="M834" s="3"/>
      <c r="N834" s="3"/>
      <c r="O834" s="3"/>
      <c r="P834" s="3"/>
      <c r="Q834" s="3"/>
      <c r="R834" s="3"/>
      <c r="S834" s="2"/>
      <c r="T834" s="2"/>
      <c r="U834" s="2"/>
      <c r="V834" s="2"/>
      <c r="W834" s="2"/>
      <c r="X834" s="2"/>
      <c r="Y834" s="3"/>
      <c r="Z834" s="3"/>
      <c r="AA834" s="2"/>
      <c r="AB834" s="2"/>
      <c r="AC834" s="2"/>
      <c r="AD834" s="2"/>
      <c r="AE834" s="2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4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</row>
    <row r="835" ht="15.75">
      <c r="A835" s="3"/>
      <c r="B835" s="2"/>
      <c r="C835" s="2"/>
      <c r="D835" s="2"/>
      <c r="E835" s="2"/>
      <c r="F835" s="2"/>
      <c r="G835" s="2"/>
      <c r="H835" s="2"/>
      <c r="I835" s="2"/>
      <c r="J835" s="3"/>
      <c r="K835" s="3"/>
      <c r="L835" s="3"/>
      <c r="M835" s="3"/>
      <c r="N835" s="3"/>
      <c r="O835" s="3"/>
      <c r="P835" s="3"/>
      <c r="Q835" s="3"/>
      <c r="R835" s="3"/>
      <c r="S835" s="2"/>
      <c r="T835" s="2"/>
      <c r="U835" s="2"/>
      <c r="V835" s="2"/>
      <c r="W835" s="2"/>
      <c r="X835" s="2"/>
      <c r="Y835" s="3"/>
      <c r="Z835" s="3"/>
      <c r="AA835" s="2"/>
      <c r="AB835" s="2"/>
      <c r="AC835" s="2"/>
      <c r="AD835" s="2"/>
      <c r="AE835" s="2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4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</row>
    <row r="836" ht="15.75">
      <c r="A836" s="3"/>
      <c r="B836" s="2"/>
      <c r="C836" s="2"/>
      <c r="D836" s="2"/>
      <c r="E836" s="2"/>
      <c r="F836" s="2"/>
      <c r="G836" s="2"/>
      <c r="H836" s="2"/>
      <c r="I836" s="2"/>
      <c r="J836" s="3"/>
      <c r="K836" s="3"/>
      <c r="L836" s="3"/>
      <c r="M836" s="3"/>
      <c r="N836" s="3"/>
      <c r="O836" s="3"/>
      <c r="P836" s="3"/>
      <c r="Q836" s="3"/>
      <c r="R836" s="3"/>
      <c r="S836" s="2"/>
      <c r="T836" s="2"/>
      <c r="U836" s="2"/>
      <c r="V836" s="2"/>
      <c r="W836" s="2"/>
      <c r="X836" s="2"/>
      <c r="Y836" s="3"/>
      <c r="Z836" s="3"/>
      <c r="AA836" s="2"/>
      <c r="AB836" s="2"/>
      <c r="AC836" s="2"/>
      <c r="AD836" s="2"/>
      <c r="AE836" s="2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4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</row>
    <row r="837" ht="15.75">
      <c r="A837" s="3"/>
      <c r="B837" s="2"/>
      <c r="C837" s="2"/>
      <c r="D837" s="2"/>
      <c r="E837" s="2"/>
      <c r="F837" s="2"/>
      <c r="G837" s="2"/>
      <c r="H837" s="2"/>
      <c r="I837" s="2"/>
      <c r="J837" s="3"/>
      <c r="K837" s="3"/>
      <c r="L837" s="3"/>
      <c r="M837" s="3"/>
      <c r="N837" s="3"/>
      <c r="O837" s="3"/>
      <c r="P837" s="3"/>
      <c r="Q837" s="3"/>
      <c r="R837" s="3"/>
      <c r="S837" s="2"/>
      <c r="T837" s="2"/>
      <c r="U837" s="2"/>
      <c r="V837" s="2"/>
      <c r="W837" s="2"/>
      <c r="X837" s="2"/>
      <c r="Y837" s="3"/>
      <c r="Z837" s="3"/>
      <c r="AA837" s="2"/>
      <c r="AB837" s="2"/>
      <c r="AC837" s="2"/>
      <c r="AD837" s="2"/>
      <c r="AE837" s="2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4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</row>
    <row r="838" ht="15.75">
      <c r="A838" s="3"/>
      <c r="B838" s="2"/>
      <c r="C838" s="2"/>
      <c r="D838" s="2"/>
      <c r="E838" s="2"/>
      <c r="F838" s="2"/>
      <c r="G838" s="2"/>
      <c r="H838" s="2"/>
      <c r="I838" s="2"/>
      <c r="J838" s="3"/>
      <c r="K838" s="3"/>
      <c r="L838" s="3"/>
      <c r="M838" s="3"/>
      <c r="N838" s="3"/>
      <c r="O838" s="3"/>
      <c r="P838" s="3"/>
      <c r="Q838" s="3"/>
      <c r="R838" s="3"/>
      <c r="S838" s="2"/>
      <c r="T838" s="2"/>
      <c r="U838" s="2"/>
      <c r="V838" s="2"/>
      <c r="W838" s="2"/>
      <c r="X838" s="2"/>
      <c r="Y838" s="3"/>
      <c r="Z838" s="3"/>
      <c r="AA838" s="2"/>
      <c r="AB838" s="2"/>
      <c r="AC838" s="2"/>
      <c r="AD838" s="2"/>
      <c r="AE838" s="2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4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</row>
    <row r="839" ht="15.75">
      <c r="A839" s="3"/>
      <c r="B839" s="2"/>
      <c r="C839" s="2"/>
      <c r="D839" s="2"/>
      <c r="E839" s="2"/>
      <c r="F839" s="2"/>
      <c r="G839" s="2"/>
      <c r="H839" s="2"/>
      <c r="I839" s="2"/>
      <c r="J839" s="3"/>
      <c r="K839" s="3"/>
      <c r="L839" s="3"/>
      <c r="M839" s="3"/>
      <c r="N839" s="3"/>
      <c r="O839" s="3"/>
      <c r="P839" s="3"/>
      <c r="Q839" s="3"/>
      <c r="R839" s="3"/>
      <c r="S839" s="2"/>
      <c r="T839" s="2"/>
      <c r="U839" s="2"/>
      <c r="V839" s="2"/>
      <c r="W839" s="2"/>
      <c r="X839" s="2"/>
      <c r="Y839" s="3"/>
      <c r="Z839" s="3"/>
      <c r="AA839" s="2"/>
      <c r="AB839" s="2"/>
      <c r="AC839" s="2"/>
      <c r="AD839" s="2"/>
      <c r="AE839" s="2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4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</row>
    <row r="840" ht="15.75">
      <c r="A840" s="3"/>
      <c r="B840" s="2"/>
      <c r="C840" s="2"/>
      <c r="D840" s="2"/>
      <c r="E840" s="2"/>
      <c r="F840" s="2"/>
      <c r="G840" s="2"/>
      <c r="H840" s="2"/>
      <c r="I840" s="2"/>
      <c r="J840" s="3"/>
      <c r="K840" s="3"/>
      <c r="L840" s="3"/>
      <c r="M840" s="3"/>
      <c r="N840" s="3"/>
      <c r="O840" s="3"/>
      <c r="P840" s="3"/>
      <c r="Q840" s="3"/>
      <c r="R840" s="3"/>
      <c r="S840" s="2"/>
      <c r="T840" s="2"/>
      <c r="U840" s="2"/>
      <c r="V840" s="2"/>
      <c r="W840" s="2"/>
      <c r="X840" s="2"/>
      <c r="Y840" s="3"/>
      <c r="Z840" s="3"/>
      <c r="AA840" s="2"/>
      <c r="AB840" s="2"/>
      <c r="AC840" s="2"/>
      <c r="AD840" s="2"/>
      <c r="AE840" s="2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4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</row>
    <row r="841" ht="15.75">
      <c r="A841" s="3"/>
      <c r="B841" s="2"/>
      <c r="C841" s="2"/>
      <c r="D841" s="2"/>
      <c r="E841" s="2"/>
      <c r="F841" s="2"/>
      <c r="G841" s="2"/>
      <c r="H841" s="2"/>
      <c r="I841" s="2"/>
      <c r="J841" s="3"/>
      <c r="K841" s="3"/>
      <c r="L841" s="3"/>
      <c r="M841" s="3"/>
      <c r="N841" s="3"/>
      <c r="O841" s="3"/>
      <c r="P841" s="3"/>
      <c r="Q841" s="3"/>
      <c r="R841" s="3"/>
      <c r="S841" s="2"/>
      <c r="T841" s="2"/>
      <c r="U841" s="2"/>
      <c r="V841" s="2"/>
      <c r="W841" s="2"/>
      <c r="X841" s="2"/>
      <c r="Y841" s="3"/>
      <c r="Z841" s="3"/>
      <c r="AA841" s="2"/>
      <c r="AB841" s="2"/>
      <c r="AC841" s="2"/>
      <c r="AD841" s="2"/>
      <c r="AE841" s="2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4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</row>
    <row r="842" ht="15.75">
      <c r="A842" s="3"/>
      <c r="B842" s="2"/>
      <c r="C842" s="2"/>
      <c r="D842" s="2"/>
      <c r="E842" s="2"/>
      <c r="F842" s="2"/>
      <c r="G842" s="2"/>
      <c r="H842" s="2"/>
      <c r="I842" s="2"/>
      <c r="J842" s="3"/>
      <c r="K842" s="3"/>
      <c r="L842" s="3"/>
      <c r="M842" s="3"/>
      <c r="N842" s="3"/>
      <c r="O842" s="3"/>
      <c r="P842" s="3"/>
      <c r="Q842" s="3"/>
      <c r="R842" s="3"/>
      <c r="S842" s="2"/>
      <c r="T842" s="2"/>
      <c r="U842" s="2"/>
      <c r="V842" s="2"/>
      <c r="W842" s="2"/>
      <c r="X842" s="2"/>
      <c r="Y842" s="3"/>
      <c r="Z842" s="3"/>
      <c r="AA842" s="2"/>
      <c r="AB842" s="2"/>
      <c r="AC842" s="2"/>
      <c r="AD842" s="2"/>
      <c r="AE842" s="2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4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</row>
    <row r="843" ht="15.75">
      <c r="A843" s="3"/>
      <c r="B843" s="2"/>
      <c r="C843" s="2"/>
      <c r="D843" s="2"/>
      <c r="E843" s="2"/>
      <c r="F843" s="2"/>
      <c r="G843" s="2"/>
      <c r="H843" s="2"/>
      <c r="I843" s="2"/>
      <c r="J843" s="3"/>
      <c r="K843" s="3"/>
      <c r="L843" s="3"/>
      <c r="M843" s="3"/>
      <c r="N843" s="3"/>
      <c r="O843" s="3"/>
      <c r="P843" s="3"/>
      <c r="Q843" s="3"/>
      <c r="R843" s="3"/>
      <c r="S843" s="2"/>
      <c r="T843" s="2"/>
      <c r="U843" s="2"/>
      <c r="V843" s="2"/>
      <c r="W843" s="2"/>
      <c r="X843" s="2"/>
      <c r="Y843" s="3"/>
      <c r="Z843" s="3"/>
      <c r="AA843" s="2"/>
      <c r="AB843" s="2"/>
      <c r="AC843" s="2"/>
      <c r="AD843" s="2"/>
      <c r="AE843" s="2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4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</row>
    <row r="844" ht="15.75">
      <c r="A844" s="3"/>
      <c r="B844" s="2"/>
      <c r="C844" s="2"/>
      <c r="D844" s="2"/>
      <c r="E844" s="2"/>
      <c r="F844" s="2"/>
      <c r="G844" s="2"/>
      <c r="H844" s="2"/>
      <c r="I844" s="2"/>
      <c r="J844" s="3"/>
      <c r="K844" s="3"/>
      <c r="L844" s="3"/>
      <c r="M844" s="3"/>
      <c r="N844" s="3"/>
      <c r="O844" s="3"/>
      <c r="P844" s="3"/>
      <c r="Q844" s="3"/>
      <c r="R844" s="3"/>
      <c r="S844" s="2"/>
      <c r="T844" s="2"/>
      <c r="U844" s="2"/>
      <c r="V844" s="2"/>
      <c r="W844" s="2"/>
      <c r="X844" s="2"/>
      <c r="Y844" s="3"/>
      <c r="Z844" s="3"/>
      <c r="AA844" s="2"/>
      <c r="AB844" s="2"/>
      <c r="AC844" s="2"/>
      <c r="AD844" s="2"/>
      <c r="AE844" s="2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4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</row>
    <row r="845" ht="15.75">
      <c r="A845" s="3"/>
      <c r="B845" s="2"/>
      <c r="C845" s="2"/>
      <c r="D845" s="2"/>
      <c r="E845" s="2"/>
      <c r="F845" s="2"/>
      <c r="G845" s="2"/>
      <c r="H845" s="2"/>
      <c r="I845" s="2"/>
      <c r="J845" s="3"/>
      <c r="K845" s="3"/>
      <c r="L845" s="3"/>
      <c r="M845" s="3"/>
      <c r="N845" s="3"/>
      <c r="O845" s="3"/>
      <c r="P845" s="3"/>
      <c r="Q845" s="3"/>
      <c r="R845" s="3"/>
      <c r="S845" s="2"/>
      <c r="T845" s="2"/>
      <c r="U845" s="2"/>
      <c r="V845" s="2"/>
      <c r="W845" s="2"/>
      <c r="X845" s="2"/>
      <c r="Y845" s="3"/>
      <c r="Z845" s="3"/>
      <c r="AA845" s="2"/>
      <c r="AB845" s="2"/>
      <c r="AC845" s="2"/>
      <c r="AD845" s="2"/>
      <c r="AE845" s="2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4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</row>
    <row r="846" ht="15.75">
      <c r="A846" s="3"/>
      <c r="B846" s="2"/>
      <c r="C846" s="2"/>
      <c r="D846" s="2"/>
      <c r="E846" s="2"/>
      <c r="F846" s="2"/>
      <c r="G846" s="2"/>
      <c r="H846" s="2"/>
      <c r="I846" s="2"/>
      <c r="J846" s="3"/>
      <c r="K846" s="3"/>
      <c r="L846" s="3"/>
      <c r="M846" s="3"/>
      <c r="N846" s="3"/>
      <c r="O846" s="3"/>
      <c r="P846" s="3"/>
      <c r="Q846" s="3"/>
      <c r="R846" s="3"/>
      <c r="S846" s="2"/>
      <c r="T846" s="2"/>
      <c r="U846" s="2"/>
      <c r="V846" s="2"/>
      <c r="W846" s="2"/>
      <c r="X846" s="2"/>
      <c r="Y846" s="3"/>
      <c r="Z846" s="3"/>
      <c r="AA846" s="2"/>
      <c r="AB846" s="2"/>
      <c r="AC846" s="2"/>
      <c r="AD846" s="2"/>
      <c r="AE846" s="2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4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</row>
    <row r="847" ht="15.75">
      <c r="A847" s="3"/>
      <c r="B847" s="2"/>
      <c r="C847" s="2"/>
      <c r="D847" s="2"/>
      <c r="E847" s="2"/>
      <c r="F847" s="2"/>
      <c r="G847" s="2"/>
      <c r="H847" s="2"/>
      <c r="I847" s="2"/>
      <c r="J847" s="3"/>
      <c r="K847" s="3"/>
      <c r="L847" s="3"/>
      <c r="M847" s="3"/>
      <c r="N847" s="3"/>
      <c r="O847" s="3"/>
      <c r="P847" s="3"/>
      <c r="Q847" s="3"/>
      <c r="R847" s="3"/>
      <c r="S847" s="2"/>
      <c r="T847" s="2"/>
      <c r="U847" s="2"/>
      <c r="V847" s="2"/>
      <c r="W847" s="2"/>
      <c r="X847" s="2"/>
      <c r="Y847" s="3"/>
      <c r="Z847" s="3"/>
      <c r="AA847" s="2"/>
      <c r="AB847" s="2"/>
      <c r="AC847" s="2"/>
      <c r="AD847" s="2"/>
      <c r="AE847" s="2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4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</row>
    <row r="848" ht="15.75">
      <c r="A848" s="3"/>
      <c r="B848" s="2"/>
      <c r="C848" s="2"/>
      <c r="D848" s="2"/>
      <c r="E848" s="2"/>
      <c r="F848" s="2"/>
      <c r="G848" s="2"/>
      <c r="H848" s="2"/>
      <c r="I848" s="2"/>
      <c r="J848" s="3"/>
      <c r="K848" s="3"/>
      <c r="L848" s="3"/>
      <c r="M848" s="3"/>
      <c r="N848" s="3"/>
      <c r="O848" s="3"/>
      <c r="P848" s="3"/>
      <c r="Q848" s="3"/>
      <c r="R848" s="3"/>
      <c r="S848" s="2"/>
      <c r="T848" s="2"/>
      <c r="U848" s="2"/>
      <c r="V848" s="2"/>
      <c r="W848" s="2"/>
      <c r="X848" s="2"/>
      <c r="Y848" s="3"/>
      <c r="Z848" s="3"/>
      <c r="AA848" s="2"/>
      <c r="AB848" s="2"/>
      <c r="AC848" s="2"/>
      <c r="AD848" s="2"/>
      <c r="AE848" s="2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4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</row>
    <row r="849" ht="15.75">
      <c r="A849" s="3"/>
      <c r="B849" s="2"/>
      <c r="C849" s="2"/>
      <c r="D849" s="2"/>
      <c r="E849" s="2"/>
      <c r="F849" s="2"/>
      <c r="G849" s="2"/>
      <c r="H849" s="2"/>
      <c r="I849" s="2"/>
      <c r="J849" s="3"/>
      <c r="K849" s="3"/>
      <c r="L849" s="3"/>
      <c r="M849" s="3"/>
      <c r="N849" s="3"/>
      <c r="O849" s="3"/>
      <c r="P849" s="3"/>
      <c r="Q849" s="3"/>
      <c r="R849" s="3"/>
      <c r="S849" s="2"/>
      <c r="T849" s="2"/>
      <c r="U849" s="2"/>
      <c r="V849" s="2"/>
      <c r="W849" s="2"/>
      <c r="X849" s="2"/>
      <c r="Y849" s="3"/>
      <c r="Z849" s="3"/>
      <c r="AA849" s="2"/>
      <c r="AB849" s="2"/>
      <c r="AC849" s="2"/>
      <c r="AD849" s="2"/>
      <c r="AE849" s="2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4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</row>
    <row r="850" ht="15.75">
      <c r="A850" s="3"/>
      <c r="B850" s="2"/>
      <c r="C850" s="2"/>
      <c r="D850" s="2"/>
      <c r="E850" s="2"/>
      <c r="F850" s="2"/>
      <c r="G850" s="2"/>
      <c r="H850" s="2"/>
      <c r="I850" s="2"/>
      <c r="J850" s="3"/>
      <c r="K850" s="3"/>
      <c r="L850" s="3"/>
      <c r="M850" s="3"/>
      <c r="N850" s="3"/>
      <c r="O850" s="3"/>
      <c r="P850" s="3"/>
      <c r="Q850" s="3"/>
      <c r="R850" s="3"/>
      <c r="S850" s="2"/>
      <c r="T850" s="2"/>
      <c r="U850" s="2"/>
      <c r="V850" s="2"/>
      <c r="W850" s="2"/>
      <c r="X850" s="2"/>
      <c r="Y850" s="3"/>
      <c r="Z850" s="3"/>
      <c r="AA850" s="2"/>
      <c r="AB850" s="2"/>
      <c r="AC850" s="2"/>
      <c r="AD850" s="2"/>
      <c r="AE850" s="2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4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</row>
    <row r="851" ht="15.75">
      <c r="A851" s="3"/>
      <c r="B851" s="2"/>
      <c r="C851" s="2"/>
      <c r="D851" s="2"/>
      <c r="E851" s="2"/>
      <c r="F851" s="2"/>
      <c r="G851" s="2"/>
      <c r="H851" s="2"/>
      <c r="I851" s="2"/>
      <c r="J851" s="3"/>
      <c r="K851" s="3"/>
      <c r="L851" s="3"/>
      <c r="M851" s="3"/>
      <c r="N851" s="3"/>
      <c r="O851" s="3"/>
      <c r="P851" s="3"/>
      <c r="Q851" s="3"/>
      <c r="R851" s="3"/>
      <c r="S851" s="2"/>
      <c r="T851" s="2"/>
      <c r="U851" s="2"/>
      <c r="V851" s="2"/>
      <c r="W851" s="2"/>
      <c r="X851" s="2"/>
      <c r="Y851" s="3"/>
      <c r="Z851" s="3"/>
      <c r="AA851" s="2"/>
      <c r="AB851" s="2"/>
      <c r="AC851" s="2"/>
      <c r="AD851" s="2"/>
      <c r="AE851" s="2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4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</row>
    <row r="852" ht="15.75">
      <c r="A852" s="3"/>
      <c r="B852" s="2"/>
      <c r="C852" s="2"/>
      <c r="D852" s="2"/>
      <c r="E852" s="2"/>
      <c r="F852" s="2"/>
      <c r="G852" s="2"/>
      <c r="H852" s="2"/>
      <c r="I852" s="2"/>
      <c r="J852" s="3"/>
      <c r="K852" s="3"/>
      <c r="L852" s="3"/>
      <c r="M852" s="3"/>
      <c r="N852" s="3"/>
      <c r="O852" s="3"/>
      <c r="P852" s="3"/>
      <c r="Q852" s="3"/>
      <c r="R852" s="3"/>
      <c r="S852" s="2"/>
      <c r="T852" s="2"/>
      <c r="U852" s="2"/>
      <c r="V852" s="2"/>
      <c r="W852" s="2"/>
      <c r="X852" s="2"/>
      <c r="Y852" s="3"/>
      <c r="Z852" s="3"/>
      <c r="AA852" s="2"/>
      <c r="AB852" s="2"/>
      <c r="AC852" s="2"/>
      <c r="AD852" s="2"/>
      <c r="AE852" s="2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4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</row>
    <row r="853" ht="15.75">
      <c r="A853" s="3"/>
      <c r="B853" s="2"/>
      <c r="C853" s="2"/>
      <c r="D853" s="2"/>
      <c r="E853" s="2"/>
      <c r="F853" s="2"/>
      <c r="G853" s="2"/>
      <c r="H853" s="2"/>
      <c r="I853" s="2"/>
      <c r="J853" s="3"/>
      <c r="K853" s="3"/>
      <c r="L853" s="3"/>
      <c r="M853" s="3"/>
      <c r="N853" s="3"/>
      <c r="O853" s="3"/>
      <c r="P853" s="3"/>
      <c r="Q853" s="3"/>
      <c r="R853" s="3"/>
      <c r="S853" s="2"/>
      <c r="T853" s="2"/>
      <c r="U853" s="2"/>
      <c r="V853" s="2"/>
      <c r="W853" s="2"/>
      <c r="X853" s="2"/>
      <c r="Y853" s="3"/>
      <c r="Z853" s="3"/>
      <c r="AA853" s="2"/>
      <c r="AB853" s="2"/>
      <c r="AC853" s="2"/>
      <c r="AD853" s="2"/>
      <c r="AE853" s="2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4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</row>
    <row r="854" ht="15.75">
      <c r="A854" s="3"/>
      <c r="B854" s="2"/>
      <c r="C854" s="2"/>
      <c r="D854" s="2"/>
      <c r="E854" s="2"/>
      <c r="F854" s="2"/>
      <c r="G854" s="2"/>
      <c r="H854" s="2"/>
      <c r="I854" s="2"/>
      <c r="J854" s="3"/>
      <c r="K854" s="3"/>
      <c r="L854" s="3"/>
      <c r="M854" s="3"/>
      <c r="N854" s="3"/>
      <c r="O854" s="3"/>
      <c r="P854" s="3"/>
      <c r="Q854" s="3"/>
      <c r="R854" s="3"/>
      <c r="S854" s="2"/>
      <c r="T854" s="2"/>
      <c r="U854" s="2"/>
      <c r="V854" s="2"/>
      <c r="W854" s="2"/>
      <c r="X854" s="2"/>
      <c r="Y854" s="3"/>
      <c r="Z854" s="3"/>
      <c r="AA854" s="2"/>
      <c r="AB854" s="2"/>
      <c r="AC854" s="2"/>
      <c r="AD854" s="2"/>
      <c r="AE854" s="2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4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</row>
    <row r="855" ht="15.75">
      <c r="A855" s="3"/>
      <c r="B855" s="2"/>
      <c r="C855" s="2"/>
      <c r="D855" s="2"/>
      <c r="E855" s="2"/>
      <c r="F855" s="2"/>
      <c r="G855" s="2"/>
      <c r="H855" s="2"/>
      <c r="I855" s="2"/>
      <c r="J855" s="3"/>
      <c r="K855" s="3"/>
      <c r="L855" s="3"/>
      <c r="M855" s="3"/>
      <c r="N855" s="3"/>
      <c r="O855" s="3"/>
      <c r="P855" s="3"/>
      <c r="Q855" s="3"/>
      <c r="R855" s="3"/>
      <c r="S855" s="2"/>
      <c r="T855" s="2"/>
      <c r="U855" s="2"/>
      <c r="V855" s="2"/>
      <c r="W855" s="2"/>
      <c r="X855" s="2"/>
      <c r="Y855" s="3"/>
      <c r="Z855" s="3"/>
      <c r="AA855" s="2"/>
      <c r="AB855" s="2"/>
      <c r="AC855" s="2"/>
      <c r="AD855" s="2"/>
      <c r="AE855" s="2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4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</row>
    <row r="856" ht="15.75">
      <c r="A856" s="3"/>
      <c r="B856" s="2"/>
      <c r="C856" s="2"/>
      <c r="D856" s="2"/>
      <c r="E856" s="2"/>
      <c r="F856" s="2"/>
      <c r="G856" s="2"/>
      <c r="H856" s="2"/>
      <c r="I856" s="2"/>
      <c r="J856" s="3"/>
      <c r="K856" s="3"/>
      <c r="L856" s="3"/>
      <c r="M856" s="3"/>
      <c r="N856" s="3"/>
      <c r="O856" s="3"/>
      <c r="P856" s="3"/>
      <c r="Q856" s="3"/>
      <c r="R856" s="3"/>
      <c r="S856" s="2"/>
      <c r="T856" s="2"/>
      <c r="U856" s="2"/>
      <c r="V856" s="2"/>
      <c r="W856" s="2"/>
      <c r="X856" s="2"/>
      <c r="Y856" s="3"/>
      <c r="Z856" s="3"/>
      <c r="AA856" s="2"/>
      <c r="AB856" s="2"/>
      <c r="AC856" s="2"/>
      <c r="AD856" s="2"/>
      <c r="AE856" s="2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4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</row>
    <row r="857" ht="15.75">
      <c r="A857" s="3"/>
      <c r="B857" s="2"/>
      <c r="C857" s="2"/>
      <c r="D857" s="2"/>
      <c r="E857" s="2"/>
      <c r="F857" s="2"/>
      <c r="G857" s="2"/>
      <c r="H857" s="2"/>
      <c r="I857" s="2"/>
      <c r="J857" s="3"/>
      <c r="K857" s="3"/>
      <c r="L857" s="3"/>
      <c r="M857" s="3"/>
      <c r="N857" s="3"/>
      <c r="O857" s="3"/>
      <c r="P857" s="3"/>
      <c r="Q857" s="3"/>
      <c r="R857" s="3"/>
      <c r="S857" s="2"/>
      <c r="T857" s="2"/>
      <c r="U857" s="2"/>
      <c r="V857" s="2"/>
      <c r="W857" s="2"/>
      <c r="X857" s="2"/>
      <c r="Y857" s="3"/>
      <c r="Z857" s="3"/>
      <c r="AA857" s="2"/>
      <c r="AB857" s="2"/>
      <c r="AC857" s="2"/>
      <c r="AD857" s="2"/>
      <c r="AE857" s="2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4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</row>
    <row r="858" ht="15.75">
      <c r="A858" s="3"/>
      <c r="B858" s="2"/>
      <c r="C858" s="2"/>
      <c r="D858" s="2"/>
      <c r="E858" s="2"/>
      <c r="F858" s="2"/>
      <c r="G858" s="2"/>
      <c r="H858" s="2"/>
      <c r="I858" s="2"/>
      <c r="J858" s="3"/>
      <c r="K858" s="3"/>
      <c r="L858" s="3"/>
      <c r="M858" s="3"/>
      <c r="N858" s="3"/>
      <c r="O858" s="3"/>
      <c r="P858" s="3"/>
      <c r="Q858" s="3"/>
      <c r="R858" s="3"/>
      <c r="S858" s="2"/>
      <c r="T858" s="2"/>
      <c r="U858" s="2"/>
      <c r="V858" s="2"/>
      <c r="W858" s="2"/>
      <c r="X858" s="2"/>
      <c r="Y858" s="3"/>
      <c r="Z858" s="3"/>
      <c r="AA858" s="2"/>
      <c r="AB858" s="2"/>
      <c r="AC858" s="2"/>
      <c r="AD858" s="2"/>
      <c r="AE858" s="2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4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</row>
    <row r="859" ht="15.75">
      <c r="A859" s="3"/>
      <c r="B859" s="2"/>
      <c r="C859" s="2"/>
      <c r="D859" s="2"/>
      <c r="E859" s="2"/>
      <c r="F859" s="2"/>
      <c r="G859" s="2"/>
      <c r="H859" s="2"/>
      <c r="I859" s="2"/>
      <c r="J859" s="3"/>
      <c r="K859" s="3"/>
      <c r="L859" s="3"/>
      <c r="M859" s="3"/>
      <c r="N859" s="3"/>
      <c r="O859" s="3"/>
      <c r="P859" s="3"/>
      <c r="Q859" s="3"/>
      <c r="R859" s="3"/>
      <c r="S859" s="2"/>
      <c r="T859" s="2"/>
      <c r="U859" s="2"/>
      <c r="V859" s="2"/>
      <c r="W859" s="2"/>
      <c r="X859" s="2"/>
      <c r="Y859" s="3"/>
      <c r="Z859" s="3"/>
      <c r="AA859" s="2"/>
      <c r="AB859" s="2"/>
      <c r="AC859" s="2"/>
      <c r="AD859" s="2"/>
      <c r="AE859" s="2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4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</row>
    <row r="860" ht="15.75">
      <c r="A860" s="3"/>
      <c r="B860" s="2"/>
      <c r="C860" s="2"/>
      <c r="D860" s="2"/>
      <c r="E860" s="2"/>
      <c r="F860" s="2"/>
      <c r="G860" s="2"/>
      <c r="H860" s="2"/>
      <c r="I860" s="2"/>
      <c r="J860" s="3"/>
      <c r="K860" s="3"/>
      <c r="L860" s="3"/>
      <c r="M860" s="3"/>
      <c r="N860" s="3"/>
      <c r="O860" s="3"/>
      <c r="P860" s="3"/>
      <c r="Q860" s="3"/>
      <c r="R860" s="3"/>
      <c r="S860" s="2"/>
      <c r="T860" s="2"/>
      <c r="U860" s="2"/>
      <c r="V860" s="2"/>
      <c r="W860" s="2"/>
      <c r="X860" s="2"/>
      <c r="Y860" s="3"/>
      <c r="Z860" s="3"/>
      <c r="AA860" s="2"/>
      <c r="AB860" s="2"/>
      <c r="AC860" s="2"/>
      <c r="AD860" s="2"/>
      <c r="AE860" s="2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4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</row>
    <row r="861" ht="15.75">
      <c r="A861" s="3"/>
      <c r="B861" s="2"/>
      <c r="C861" s="2"/>
      <c r="D861" s="2"/>
      <c r="E861" s="2"/>
      <c r="F861" s="2"/>
      <c r="G861" s="2"/>
      <c r="H861" s="2"/>
      <c r="I861" s="2"/>
      <c r="J861" s="3"/>
      <c r="K861" s="3"/>
      <c r="L861" s="3"/>
      <c r="M861" s="3"/>
      <c r="N861" s="3"/>
      <c r="O861" s="3"/>
      <c r="P861" s="3"/>
      <c r="Q861" s="3"/>
      <c r="R861" s="3"/>
      <c r="S861" s="2"/>
      <c r="T861" s="2"/>
      <c r="U861" s="2"/>
      <c r="V861" s="2"/>
      <c r="W861" s="2"/>
      <c r="X861" s="2"/>
      <c r="Y861" s="3"/>
      <c r="Z861" s="3"/>
      <c r="AA861" s="2"/>
      <c r="AB861" s="2"/>
      <c r="AC861" s="2"/>
      <c r="AD861" s="2"/>
      <c r="AE861" s="2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4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</row>
    <row r="862" ht="15.75">
      <c r="A862" s="3"/>
      <c r="B862" s="2"/>
      <c r="C862" s="2"/>
      <c r="D862" s="2"/>
      <c r="E862" s="2"/>
      <c r="F862" s="2"/>
      <c r="G862" s="2"/>
      <c r="H862" s="2"/>
      <c r="I862" s="2"/>
      <c r="J862" s="3"/>
      <c r="K862" s="3"/>
      <c r="L862" s="3"/>
      <c r="M862" s="3"/>
      <c r="N862" s="3"/>
      <c r="O862" s="3"/>
      <c r="P862" s="3"/>
      <c r="Q862" s="3"/>
      <c r="R862" s="3"/>
      <c r="S862" s="2"/>
      <c r="T862" s="2"/>
      <c r="U862" s="2"/>
      <c r="V862" s="2"/>
      <c r="W862" s="2"/>
      <c r="X862" s="2"/>
      <c r="Y862" s="3"/>
      <c r="Z862" s="3"/>
      <c r="AA862" s="2"/>
      <c r="AB862" s="2"/>
      <c r="AC862" s="2"/>
      <c r="AD862" s="2"/>
      <c r="AE862" s="2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4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</row>
    <row r="863" ht="15.75">
      <c r="A863" s="3"/>
      <c r="B863" s="2"/>
      <c r="C863" s="2"/>
      <c r="D863" s="2"/>
      <c r="E863" s="2"/>
      <c r="F863" s="2"/>
      <c r="G863" s="2"/>
      <c r="H863" s="2"/>
      <c r="I863" s="2"/>
      <c r="J863" s="3"/>
      <c r="K863" s="3"/>
      <c r="L863" s="3"/>
      <c r="M863" s="3"/>
      <c r="N863" s="3"/>
      <c r="O863" s="3"/>
      <c r="P863" s="3"/>
      <c r="Q863" s="3"/>
      <c r="R863" s="3"/>
      <c r="S863" s="2"/>
      <c r="T863" s="2"/>
      <c r="U863" s="2"/>
      <c r="V863" s="2"/>
      <c r="W863" s="2"/>
      <c r="X863" s="2"/>
      <c r="Y863" s="3"/>
      <c r="Z863" s="3"/>
      <c r="AA863" s="2"/>
      <c r="AB863" s="2"/>
      <c r="AC863" s="2"/>
      <c r="AD863" s="2"/>
      <c r="AE863" s="2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4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</row>
    <row r="864" ht="15.75">
      <c r="A864" s="3"/>
      <c r="B864" s="2"/>
      <c r="C864" s="2"/>
      <c r="D864" s="2"/>
      <c r="E864" s="2"/>
      <c r="F864" s="2"/>
      <c r="G864" s="2"/>
      <c r="H864" s="2"/>
      <c r="I864" s="2"/>
      <c r="J864" s="3"/>
      <c r="K864" s="3"/>
      <c r="L864" s="3"/>
      <c r="M864" s="3"/>
      <c r="N864" s="3"/>
      <c r="O864" s="3"/>
      <c r="P864" s="3"/>
      <c r="Q864" s="3"/>
      <c r="R864" s="3"/>
      <c r="S864" s="2"/>
      <c r="T864" s="2"/>
      <c r="U864" s="2"/>
      <c r="V864" s="2"/>
      <c r="W864" s="2"/>
      <c r="X864" s="2"/>
      <c r="Y864" s="3"/>
      <c r="Z864" s="3"/>
      <c r="AA864" s="2"/>
      <c r="AB864" s="2"/>
      <c r="AC864" s="2"/>
      <c r="AD864" s="2"/>
      <c r="AE864" s="2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4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</row>
    <row r="865" ht="15.75">
      <c r="A865" s="3"/>
      <c r="B865" s="2"/>
      <c r="C865" s="2"/>
      <c r="D865" s="2"/>
      <c r="E865" s="2"/>
      <c r="F865" s="2"/>
      <c r="G865" s="2"/>
      <c r="H865" s="2"/>
      <c r="I865" s="2"/>
      <c r="J865" s="3"/>
      <c r="K865" s="3"/>
      <c r="L865" s="3"/>
      <c r="M865" s="3"/>
      <c r="N865" s="3"/>
      <c r="O865" s="3"/>
      <c r="P865" s="3"/>
      <c r="Q865" s="3"/>
      <c r="R865" s="3"/>
      <c r="S865" s="2"/>
      <c r="T865" s="2"/>
      <c r="U865" s="2"/>
      <c r="V865" s="2"/>
      <c r="W865" s="2"/>
      <c r="X865" s="2"/>
      <c r="Y865" s="3"/>
      <c r="Z865" s="3"/>
      <c r="AA865" s="2"/>
      <c r="AB865" s="2"/>
      <c r="AC865" s="2"/>
      <c r="AD865" s="2"/>
      <c r="AE865" s="2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4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</row>
    <row r="866" ht="15.75">
      <c r="A866" s="3"/>
      <c r="B866" s="2"/>
      <c r="C866" s="2"/>
      <c r="D866" s="2"/>
      <c r="E866" s="2"/>
      <c r="F866" s="2"/>
      <c r="G866" s="2"/>
      <c r="H866" s="2"/>
      <c r="I866" s="2"/>
      <c r="J866" s="3"/>
      <c r="K866" s="3"/>
      <c r="L866" s="3"/>
      <c r="M866" s="3"/>
      <c r="N866" s="3"/>
      <c r="O866" s="3"/>
      <c r="P866" s="3"/>
      <c r="Q866" s="3"/>
      <c r="R866" s="3"/>
      <c r="S866" s="2"/>
      <c r="T866" s="2"/>
      <c r="U866" s="2"/>
      <c r="V866" s="2"/>
      <c r="W866" s="2"/>
      <c r="X866" s="2"/>
      <c r="Y866" s="3"/>
      <c r="Z866" s="3"/>
      <c r="AA866" s="2"/>
      <c r="AB866" s="2"/>
      <c r="AC866" s="2"/>
      <c r="AD866" s="2"/>
      <c r="AE866" s="2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4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</row>
    <row r="867" ht="15.75">
      <c r="A867" s="3"/>
      <c r="B867" s="2"/>
      <c r="C867" s="2"/>
      <c r="D867" s="2"/>
      <c r="E867" s="2"/>
      <c r="F867" s="2"/>
      <c r="G867" s="2"/>
      <c r="H867" s="2"/>
      <c r="I867" s="2"/>
      <c r="J867" s="3"/>
      <c r="K867" s="3"/>
      <c r="L867" s="3"/>
      <c r="M867" s="3"/>
      <c r="N867" s="3"/>
      <c r="O867" s="3"/>
      <c r="P867" s="3"/>
      <c r="Q867" s="3"/>
      <c r="R867" s="3"/>
      <c r="S867" s="2"/>
      <c r="T867" s="2"/>
      <c r="U867" s="2"/>
      <c r="V867" s="2"/>
      <c r="W867" s="2"/>
      <c r="X867" s="2"/>
      <c r="Y867" s="3"/>
      <c r="Z867" s="3"/>
      <c r="AA867" s="2"/>
      <c r="AB867" s="2"/>
      <c r="AC867" s="2"/>
      <c r="AD867" s="2"/>
      <c r="AE867" s="2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4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</row>
    <row r="868" ht="15.75">
      <c r="A868" s="3"/>
      <c r="B868" s="2"/>
      <c r="C868" s="2"/>
      <c r="D868" s="2"/>
      <c r="E868" s="2"/>
      <c r="F868" s="2"/>
      <c r="G868" s="2"/>
      <c r="H868" s="2"/>
      <c r="I868" s="2"/>
      <c r="J868" s="3"/>
      <c r="K868" s="3"/>
      <c r="L868" s="3"/>
      <c r="M868" s="3"/>
      <c r="N868" s="3"/>
      <c r="O868" s="3"/>
      <c r="P868" s="3"/>
      <c r="Q868" s="3"/>
      <c r="R868" s="3"/>
      <c r="S868" s="2"/>
      <c r="T868" s="2"/>
      <c r="U868" s="2"/>
      <c r="V868" s="2"/>
      <c r="W868" s="2"/>
      <c r="X868" s="2"/>
      <c r="Y868" s="3"/>
      <c r="Z868" s="3"/>
      <c r="AA868" s="2"/>
      <c r="AB868" s="2"/>
      <c r="AC868" s="2"/>
      <c r="AD868" s="2"/>
      <c r="AE868" s="2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4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</row>
    <row r="869" ht="15.75">
      <c r="A869" s="3"/>
      <c r="B869" s="2"/>
      <c r="C869" s="2"/>
      <c r="D869" s="2"/>
      <c r="E869" s="2"/>
      <c r="F869" s="2"/>
      <c r="G869" s="2"/>
      <c r="H869" s="2"/>
      <c r="I869" s="2"/>
      <c r="J869" s="3"/>
      <c r="K869" s="3"/>
      <c r="L869" s="3"/>
      <c r="M869" s="3"/>
      <c r="N869" s="3"/>
      <c r="O869" s="3"/>
      <c r="P869" s="3"/>
      <c r="Q869" s="3"/>
      <c r="R869" s="3"/>
      <c r="S869" s="2"/>
      <c r="T869" s="2"/>
      <c r="U869" s="2"/>
      <c r="V869" s="2"/>
      <c r="W869" s="2"/>
      <c r="X869" s="2"/>
      <c r="Y869" s="3"/>
      <c r="Z869" s="3"/>
      <c r="AA869" s="2"/>
      <c r="AB869" s="2"/>
      <c r="AC869" s="2"/>
      <c r="AD869" s="2"/>
      <c r="AE869" s="2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4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</row>
    <row r="870" ht="15.75">
      <c r="A870" s="3"/>
      <c r="B870" s="2"/>
      <c r="C870" s="2"/>
      <c r="D870" s="2"/>
      <c r="E870" s="2"/>
      <c r="F870" s="2"/>
      <c r="G870" s="2"/>
      <c r="H870" s="2"/>
      <c r="I870" s="2"/>
      <c r="J870" s="3"/>
      <c r="K870" s="3"/>
      <c r="L870" s="3"/>
      <c r="M870" s="3"/>
      <c r="N870" s="3"/>
      <c r="O870" s="3"/>
      <c r="P870" s="3"/>
      <c r="Q870" s="3"/>
      <c r="R870" s="3"/>
      <c r="S870" s="2"/>
      <c r="T870" s="2"/>
      <c r="U870" s="2"/>
      <c r="V870" s="2"/>
      <c r="W870" s="2"/>
      <c r="X870" s="2"/>
      <c r="Y870" s="3"/>
      <c r="Z870" s="3"/>
      <c r="AA870" s="2"/>
      <c r="AB870" s="2"/>
      <c r="AC870" s="2"/>
      <c r="AD870" s="2"/>
      <c r="AE870" s="2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4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</row>
    <row r="871" ht="15.75">
      <c r="A871" s="3"/>
      <c r="B871" s="2"/>
      <c r="C871" s="2"/>
      <c r="D871" s="2"/>
      <c r="E871" s="2"/>
      <c r="F871" s="2"/>
      <c r="G871" s="2"/>
      <c r="H871" s="2"/>
      <c r="I871" s="2"/>
      <c r="J871" s="3"/>
      <c r="K871" s="3"/>
      <c r="L871" s="3"/>
      <c r="M871" s="3"/>
      <c r="N871" s="3"/>
      <c r="O871" s="3"/>
      <c r="P871" s="3"/>
      <c r="Q871" s="3"/>
      <c r="R871" s="3"/>
      <c r="S871" s="2"/>
      <c r="T871" s="2"/>
      <c r="U871" s="2"/>
      <c r="V871" s="2"/>
      <c r="W871" s="2"/>
      <c r="X871" s="2"/>
      <c r="Y871" s="3"/>
      <c r="Z871" s="3"/>
      <c r="AA871" s="2"/>
      <c r="AB871" s="2"/>
      <c r="AC871" s="2"/>
      <c r="AD871" s="2"/>
      <c r="AE871" s="2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4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</row>
    <row r="872" ht="15.75">
      <c r="A872" s="3"/>
      <c r="B872" s="2"/>
      <c r="C872" s="2"/>
      <c r="D872" s="2"/>
      <c r="E872" s="2"/>
      <c r="F872" s="2"/>
      <c r="G872" s="2"/>
      <c r="H872" s="2"/>
      <c r="I872" s="2"/>
      <c r="J872" s="3"/>
      <c r="K872" s="3"/>
      <c r="L872" s="3"/>
      <c r="M872" s="3"/>
      <c r="N872" s="3"/>
      <c r="O872" s="3"/>
      <c r="P872" s="3"/>
      <c r="Q872" s="3"/>
      <c r="R872" s="3"/>
      <c r="S872" s="2"/>
      <c r="T872" s="2"/>
      <c r="U872" s="2"/>
      <c r="V872" s="2"/>
      <c r="W872" s="2"/>
      <c r="X872" s="2"/>
      <c r="Y872" s="3"/>
      <c r="Z872" s="3"/>
      <c r="AA872" s="2"/>
      <c r="AB872" s="2"/>
      <c r="AC872" s="2"/>
      <c r="AD872" s="2"/>
      <c r="AE872" s="2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4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</row>
    <row r="873" ht="15.75">
      <c r="A873" s="3"/>
      <c r="B873" s="2"/>
      <c r="C873" s="2"/>
      <c r="D873" s="2"/>
      <c r="E873" s="2"/>
      <c r="F873" s="2"/>
      <c r="G873" s="2"/>
      <c r="H873" s="2"/>
      <c r="I873" s="2"/>
      <c r="J873" s="3"/>
      <c r="K873" s="3"/>
      <c r="L873" s="3"/>
      <c r="M873" s="3"/>
      <c r="N873" s="3"/>
      <c r="O873" s="3"/>
      <c r="P873" s="3"/>
      <c r="Q873" s="3"/>
      <c r="R873" s="3"/>
      <c r="S873" s="2"/>
      <c r="T873" s="2"/>
      <c r="U873" s="2"/>
      <c r="V873" s="2"/>
      <c r="W873" s="2"/>
      <c r="X873" s="2"/>
      <c r="Y873" s="3"/>
      <c r="Z873" s="3"/>
      <c r="AA873" s="2"/>
      <c r="AB873" s="2"/>
      <c r="AC873" s="2"/>
      <c r="AD873" s="2"/>
      <c r="AE873" s="2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4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</row>
    <row r="874" ht="15.75">
      <c r="A874" s="3"/>
      <c r="B874" s="2"/>
      <c r="C874" s="2"/>
      <c r="D874" s="2"/>
      <c r="E874" s="2"/>
      <c r="F874" s="2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2"/>
      <c r="T874" s="2"/>
      <c r="U874" s="2"/>
      <c r="V874" s="2"/>
      <c r="W874" s="2"/>
      <c r="X874" s="2"/>
      <c r="Y874" s="3"/>
      <c r="Z874" s="3"/>
      <c r="AA874" s="2"/>
      <c r="AB874" s="2"/>
      <c r="AC874" s="2"/>
      <c r="AD874" s="2"/>
      <c r="AE874" s="2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4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</row>
    <row r="875" ht="15.75">
      <c r="A875" s="3"/>
      <c r="B875" s="2"/>
      <c r="C875" s="2"/>
      <c r="D875" s="2"/>
      <c r="E875" s="2"/>
      <c r="F875" s="2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2"/>
      <c r="T875" s="2"/>
      <c r="U875" s="2"/>
      <c r="V875" s="2"/>
      <c r="W875" s="2"/>
      <c r="X875" s="2"/>
      <c r="Y875" s="3"/>
      <c r="Z875" s="3"/>
      <c r="AA875" s="2"/>
      <c r="AB875" s="2"/>
      <c r="AC875" s="2"/>
      <c r="AD875" s="2"/>
      <c r="AE875" s="2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4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</row>
    <row r="876" ht="15.75">
      <c r="A876" s="3"/>
      <c r="B876" s="2"/>
      <c r="C876" s="2"/>
      <c r="D876" s="2"/>
      <c r="E876" s="2"/>
      <c r="F876" s="2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2"/>
      <c r="T876" s="2"/>
      <c r="U876" s="2"/>
      <c r="V876" s="2"/>
      <c r="W876" s="2"/>
      <c r="X876" s="2"/>
      <c r="Y876" s="3"/>
      <c r="Z876" s="3"/>
      <c r="AA876" s="2"/>
      <c r="AB876" s="2"/>
      <c r="AC876" s="2"/>
      <c r="AD876" s="2"/>
      <c r="AE876" s="2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4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</row>
    <row r="877" ht="15.75">
      <c r="A877" s="3"/>
      <c r="B877" s="2"/>
      <c r="C877" s="2"/>
      <c r="D877" s="2"/>
      <c r="E877" s="2"/>
      <c r="F877" s="2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2"/>
      <c r="T877" s="2"/>
      <c r="U877" s="2"/>
      <c r="V877" s="2"/>
      <c r="W877" s="2"/>
      <c r="X877" s="2"/>
      <c r="Y877" s="3"/>
      <c r="Z877" s="3"/>
      <c r="AA877" s="2"/>
      <c r="AB877" s="2"/>
      <c r="AC877" s="2"/>
      <c r="AD877" s="2"/>
      <c r="AE877" s="2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4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</row>
    <row r="878" ht="15.75">
      <c r="A878" s="3"/>
      <c r="B878" s="2"/>
      <c r="C878" s="2"/>
      <c r="D878" s="2"/>
      <c r="E878" s="2"/>
      <c r="F878" s="2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2"/>
      <c r="T878" s="2"/>
      <c r="U878" s="2"/>
      <c r="V878" s="2"/>
      <c r="W878" s="2"/>
      <c r="X878" s="2"/>
      <c r="Y878" s="3"/>
      <c r="Z878" s="3"/>
      <c r="AA878" s="2"/>
      <c r="AB878" s="2"/>
      <c r="AC878" s="2"/>
      <c r="AD878" s="2"/>
      <c r="AE878" s="2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4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</row>
    <row r="879" ht="15.75">
      <c r="A879" s="3"/>
      <c r="B879" s="2"/>
      <c r="C879" s="2"/>
      <c r="D879" s="2"/>
      <c r="E879" s="2"/>
      <c r="F879" s="2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2"/>
      <c r="T879" s="2"/>
      <c r="U879" s="2"/>
      <c r="V879" s="2"/>
      <c r="W879" s="2"/>
      <c r="X879" s="2"/>
      <c r="Y879" s="3"/>
      <c r="Z879" s="3"/>
      <c r="AA879" s="2"/>
      <c r="AB879" s="2"/>
      <c r="AC879" s="2"/>
      <c r="AD879" s="2"/>
      <c r="AE879" s="2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4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</row>
    <row r="880" ht="15.75">
      <c r="A880" s="3"/>
      <c r="B880" s="2"/>
      <c r="C880" s="2"/>
      <c r="D880" s="2"/>
      <c r="E880" s="2"/>
      <c r="F880" s="2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2"/>
      <c r="T880" s="2"/>
      <c r="U880" s="2"/>
      <c r="V880" s="2"/>
      <c r="W880" s="2"/>
      <c r="X880" s="2"/>
      <c r="Y880" s="3"/>
      <c r="Z880" s="3"/>
      <c r="AA880" s="2"/>
      <c r="AB880" s="2"/>
      <c r="AC880" s="2"/>
      <c r="AD880" s="2"/>
      <c r="AE880" s="2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4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</row>
    <row r="881" ht="15.75">
      <c r="A881" s="3"/>
      <c r="B881" s="2"/>
      <c r="C881" s="2"/>
      <c r="D881" s="2"/>
      <c r="E881" s="2"/>
      <c r="F881" s="2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2"/>
      <c r="T881" s="2"/>
      <c r="U881" s="2"/>
      <c r="V881" s="2"/>
      <c r="W881" s="2"/>
      <c r="X881" s="2"/>
      <c r="Y881" s="3"/>
      <c r="Z881" s="3"/>
      <c r="AA881" s="2"/>
      <c r="AB881" s="2"/>
      <c r="AC881" s="2"/>
      <c r="AD881" s="2"/>
      <c r="AE881" s="2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4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</row>
    <row r="882" ht="15.75">
      <c r="A882" s="3"/>
      <c r="B882" s="2"/>
      <c r="C882" s="2"/>
      <c r="D882" s="2"/>
      <c r="E882" s="2"/>
      <c r="F882" s="2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2"/>
      <c r="T882" s="2"/>
      <c r="U882" s="2"/>
      <c r="V882" s="2"/>
      <c r="W882" s="2"/>
      <c r="X882" s="2"/>
      <c r="Y882" s="3"/>
      <c r="Z882" s="3"/>
      <c r="AA882" s="2"/>
      <c r="AB882" s="2"/>
      <c r="AC882" s="2"/>
      <c r="AD882" s="2"/>
      <c r="AE882" s="2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4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</row>
    <row r="883" ht="15.75">
      <c r="A883" s="3"/>
      <c r="B883" s="2"/>
      <c r="C883" s="2"/>
      <c r="D883" s="2"/>
      <c r="E883" s="2"/>
      <c r="F883" s="2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  <c r="S883" s="2"/>
      <c r="T883" s="2"/>
      <c r="U883" s="2"/>
      <c r="V883" s="2"/>
      <c r="W883" s="2"/>
      <c r="X883" s="2"/>
      <c r="Y883" s="3"/>
      <c r="Z883" s="3"/>
      <c r="AA883" s="2"/>
      <c r="AB883" s="2"/>
      <c r="AC883" s="2"/>
      <c r="AD883" s="2"/>
      <c r="AE883" s="2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4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</row>
    <row r="884" ht="15.75">
      <c r="A884" s="3"/>
      <c r="B884" s="2"/>
      <c r="C884" s="2"/>
      <c r="D884" s="2"/>
      <c r="E884" s="2"/>
      <c r="F884" s="2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2"/>
      <c r="T884" s="2"/>
      <c r="U884" s="2"/>
      <c r="V884" s="2"/>
      <c r="W884" s="2"/>
      <c r="X884" s="2"/>
      <c r="Y884" s="3"/>
      <c r="Z884" s="3"/>
      <c r="AA884" s="2"/>
      <c r="AB884" s="2"/>
      <c r="AC884" s="2"/>
      <c r="AD884" s="2"/>
      <c r="AE884" s="2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4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</row>
    <row r="885" ht="15.75">
      <c r="A885" s="3"/>
      <c r="B885" s="2"/>
      <c r="C885" s="2"/>
      <c r="D885" s="2"/>
      <c r="E885" s="2"/>
      <c r="F885" s="2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  <c r="S885" s="2"/>
      <c r="T885" s="2"/>
      <c r="U885" s="2"/>
      <c r="V885" s="2"/>
      <c r="W885" s="2"/>
      <c r="X885" s="2"/>
      <c r="Y885" s="3"/>
      <c r="Z885" s="3"/>
      <c r="AA885" s="2"/>
      <c r="AB885" s="2"/>
      <c r="AC885" s="2"/>
      <c r="AD885" s="2"/>
      <c r="AE885" s="2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4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</row>
    <row r="886" ht="15.75">
      <c r="A886" s="3"/>
      <c r="B886" s="2"/>
      <c r="C886" s="2"/>
      <c r="D886" s="2"/>
      <c r="E886" s="2"/>
      <c r="F886" s="2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  <c r="S886" s="2"/>
      <c r="T886" s="2"/>
      <c r="U886" s="2"/>
      <c r="V886" s="2"/>
      <c r="W886" s="2"/>
      <c r="X886" s="2"/>
      <c r="Y886" s="3"/>
      <c r="Z886" s="3"/>
      <c r="AA886" s="2"/>
      <c r="AB886" s="2"/>
      <c r="AC886" s="2"/>
      <c r="AD886" s="2"/>
      <c r="AE886" s="2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4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</row>
    <row r="887" ht="15.75">
      <c r="A887" s="3"/>
      <c r="B887" s="2"/>
      <c r="C887" s="2"/>
      <c r="D887" s="2"/>
      <c r="E887" s="2"/>
      <c r="F887" s="2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2"/>
      <c r="T887" s="2"/>
      <c r="U887" s="2"/>
      <c r="V887" s="2"/>
      <c r="W887" s="2"/>
      <c r="X887" s="2"/>
      <c r="Y887" s="3"/>
      <c r="Z887" s="3"/>
      <c r="AA887" s="2"/>
      <c r="AB887" s="2"/>
      <c r="AC887" s="2"/>
      <c r="AD887" s="2"/>
      <c r="AE887" s="2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4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</row>
    <row r="888" ht="15.75">
      <c r="A888" s="3"/>
      <c r="B888" s="2"/>
      <c r="C888" s="2"/>
      <c r="D888" s="2"/>
      <c r="E888" s="2"/>
      <c r="F888" s="2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2"/>
      <c r="T888" s="2"/>
      <c r="U888" s="2"/>
      <c r="V888" s="2"/>
      <c r="W888" s="2"/>
      <c r="X888" s="2"/>
      <c r="Y888" s="3"/>
      <c r="Z888" s="3"/>
      <c r="AA888" s="2"/>
      <c r="AB888" s="2"/>
      <c r="AC888" s="2"/>
      <c r="AD888" s="2"/>
      <c r="AE888" s="2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4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</row>
    <row r="889" ht="15.75">
      <c r="A889" s="3"/>
      <c r="B889" s="2"/>
      <c r="C889" s="2"/>
      <c r="D889" s="2"/>
      <c r="E889" s="2"/>
      <c r="F889" s="2"/>
      <c r="G889" s="2"/>
      <c r="H889" s="2"/>
      <c r="I889" s="2"/>
      <c r="J889" s="3"/>
      <c r="K889" s="3"/>
      <c r="L889" s="3"/>
      <c r="M889" s="3"/>
      <c r="N889" s="3"/>
      <c r="O889" s="3"/>
      <c r="P889" s="3"/>
      <c r="Q889" s="3"/>
      <c r="R889" s="3"/>
      <c r="S889" s="2"/>
      <c r="T889" s="2"/>
      <c r="U889" s="2"/>
      <c r="V889" s="2"/>
      <c r="W889" s="2"/>
      <c r="X889" s="2"/>
      <c r="Y889" s="3"/>
      <c r="Z889" s="3"/>
      <c r="AA889" s="2"/>
      <c r="AB889" s="2"/>
      <c r="AC889" s="2"/>
      <c r="AD889" s="2"/>
      <c r="AE889" s="2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4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</row>
    <row r="890" ht="15.75">
      <c r="A890" s="3"/>
      <c r="B890" s="2"/>
      <c r="C890" s="2"/>
      <c r="D890" s="2"/>
      <c r="E890" s="2"/>
      <c r="F890" s="2"/>
      <c r="G890" s="2"/>
      <c r="H890" s="2"/>
      <c r="I890" s="2"/>
      <c r="J890" s="3"/>
      <c r="K890" s="3"/>
      <c r="L890" s="3"/>
      <c r="M890" s="3"/>
      <c r="N890" s="3"/>
      <c r="O890" s="3"/>
      <c r="P890" s="3"/>
      <c r="Q890" s="3"/>
      <c r="R890" s="3"/>
      <c r="S890" s="2"/>
      <c r="T890" s="2"/>
      <c r="U890" s="2"/>
      <c r="V890" s="2"/>
      <c r="W890" s="2"/>
      <c r="X890" s="2"/>
      <c r="Y890" s="3"/>
      <c r="Z890" s="3"/>
      <c r="AA890" s="2"/>
      <c r="AB890" s="2"/>
      <c r="AC890" s="2"/>
      <c r="AD890" s="2"/>
      <c r="AE890" s="2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4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</row>
    <row r="891" ht="15.75">
      <c r="A891" s="3"/>
      <c r="B891" s="2"/>
      <c r="C891" s="2"/>
      <c r="D891" s="2"/>
      <c r="E891" s="2"/>
      <c r="F891" s="2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  <c r="S891" s="2"/>
      <c r="T891" s="2"/>
      <c r="U891" s="2"/>
      <c r="V891" s="2"/>
      <c r="W891" s="2"/>
      <c r="X891" s="2"/>
      <c r="Y891" s="3"/>
      <c r="Z891" s="3"/>
      <c r="AA891" s="2"/>
      <c r="AB891" s="2"/>
      <c r="AC891" s="2"/>
      <c r="AD891" s="2"/>
      <c r="AE891" s="2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4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</row>
    <row r="892" ht="15.75">
      <c r="A892" s="3"/>
      <c r="B892" s="2"/>
      <c r="C892" s="2"/>
      <c r="D892" s="2"/>
      <c r="E892" s="2"/>
      <c r="F892" s="2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2"/>
      <c r="T892" s="2"/>
      <c r="U892" s="2"/>
      <c r="V892" s="2"/>
      <c r="W892" s="2"/>
      <c r="X892" s="2"/>
      <c r="Y892" s="3"/>
      <c r="Z892" s="3"/>
      <c r="AA892" s="2"/>
      <c r="AB892" s="2"/>
      <c r="AC892" s="2"/>
      <c r="AD892" s="2"/>
      <c r="AE892" s="2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4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</row>
    <row r="893" ht="15.75">
      <c r="A893" s="3"/>
      <c r="B893" s="2"/>
      <c r="C893" s="2"/>
      <c r="D893" s="2"/>
      <c r="E893" s="2"/>
      <c r="F893" s="2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  <c r="S893" s="2"/>
      <c r="T893" s="2"/>
      <c r="U893" s="2"/>
      <c r="V893" s="2"/>
      <c r="W893" s="2"/>
      <c r="X893" s="2"/>
      <c r="Y893" s="3"/>
      <c r="Z893" s="3"/>
      <c r="AA893" s="2"/>
      <c r="AB893" s="2"/>
      <c r="AC893" s="2"/>
      <c r="AD893" s="2"/>
      <c r="AE893" s="2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4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</row>
    <row r="894" ht="15.75">
      <c r="A894" s="3"/>
      <c r="B894" s="2"/>
      <c r="C894" s="2"/>
      <c r="D894" s="2"/>
      <c r="E894" s="2"/>
      <c r="F894" s="2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2"/>
      <c r="T894" s="2"/>
      <c r="U894" s="2"/>
      <c r="V894" s="2"/>
      <c r="W894" s="2"/>
      <c r="X894" s="2"/>
      <c r="Y894" s="3"/>
      <c r="Z894" s="3"/>
      <c r="AA894" s="2"/>
      <c r="AB894" s="2"/>
      <c r="AC894" s="2"/>
      <c r="AD894" s="2"/>
      <c r="AE894" s="2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4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</row>
    <row r="895" ht="15.75">
      <c r="A895" s="3"/>
      <c r="B895" s="2"/>
      <c r="C895" s="2"/>
      <c r="D895" s="2"/>
      <c r="E895" s="2"/>
      <c r="F895" s="2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2"/>
      <c r="T895" s="2"/>
      <c r="U895" s="2"/>
      <c r="V895" s="2"/>
      <c r="W895" s="2"/>
      <c r="X895" s="2"/>
      <c r="Y895" s="3"/>
      <c r="Z895" s="3"/>
      <c r="AA895" s="2"/>
      <c r="AB895" s="2"/>
      <c r="AC895" s="2"/>
      <c r="AD895" s="2"/>
      <c r="AE895" s="2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4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</row>
    <row r="896" ht="15.75">
      <c r="A896" s="3"/>
      <c r="B896" s="2"/>
      <c r="C896" s="2"/>
      <c r="D896" s="2"/>
      <c r="E896" s="2"/>
      <c r="F896" s="2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2"/>
      <c r="T896" s="2"/>
      <c r="U896" s="2"/>
      <c r="V896" s="2"/>
      <c r="W896" s="2"/>
      <c r="X896" s="2"/>
      <c r="Y896" s="3"/>
      <c r="Z896" s="3"/>
      <c r="AA896" s="2"/>
      <c r="AB896" s="2"/>
      <c r="AC896" s="2"/>
      <c r="AD896" s="2"/>
      <c r="AE896" s="2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4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</row>
    <row r="897" ht="15.75">
      <c r="A897" s="3"/>
      <c r="B897" s="2"/>
      <c r="C897" s="2"/>
      <c r="D897" s="2"/>
      <c r="E897" s="2"/>
      <c r="F897" s="2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  <c r="S897" s="2"/>
      <c r="T897" s="2"/>
      <c r="U897" s="2"/>
      <c r="V897" s="2"/>
      <c r="W897" s="2"/>
      <c r="X897" s="2"/>
      <c r="Y897" s="3"/>
      <c r="Z897" s="3"/>
      <c r="AA897" s="2"/>
      <c r="AB897" s="2"/>
      <c r="AC897" s="2"/>
      <c r="AD897" s="2"/>
      <c r="AE897" s="2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4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</row>
    <row r="898" ht="15.75">
      <c r="A898" s="3"/>
      <c r="B898" s="2"/>
      <c r="C898" s="2"/>
      <c r="D898" s="2"/>
      <c r="E898" s="2"/>
      <c r="F898" s="2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2"/>
      <c r="T898" s="2"/>
      <c r="U898" s="2"/>
      <c r="V898" s="2"/>
      <c r="W898" s="2"/>
      <c r="X898" s="2"/>
      <c r="Y898" s="3"/>
      <c r="Z898" s="3"/>
      <c r="AA898" s="2"/>
      <c r="AB898" s="2"/>
      <c r="AC898" s="2"/>
      <c r="AD898" s="2"/>
      <c r="AE898" s="2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4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</row>
    <row r="899" ht="15.75">
      <c r="A899" s="3"/>
      <c r="B899" s="2"/>
      <c r="C899" s="2"/>
      <c r="D899" s="2"/>
      <c r="E899" s="2"/>
      <c r="F899" s="2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2"/>
      <c r="T899" s="2"/>
      <c r="U899" s="2"/>
      <c r="V899" s="2"/>
      <c r="W899" s="2"/>
      <c r="X899" s="2"/>
      <c r="Y899" s="3"/>
      <c r="Z899" s="3"/>
      <c r="AA899" s="2"/>
      <c r="AB899" s="2"/>
      <c r="AC899" s="2"/>
      <c r="AD899" s="2"/>
      <c r="AE899" s="2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4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</row>
    <row r="900" ht="15.75">
      <c r="A900" s="3"/>
      <c r="B900" s="2"/>
      <c r="C900" s="2"/>
      <c r="D900" s="2"/>
      <c r="E900" s="2"/>
      <c r="F900" s="2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2"/>
      <c r="T900" s="2"/>
      <c r="U900" s="2"/>
      <c r="V900" s="2"/>
      <c r="W900" s="2"/>
      <c r="X900" s="2"/>
      <c r="Y900" s="3"/>
      <c r="Z900" s="3"/>
      <c r="AA900" s="2"/>
      <c r="AB900" s="2"/>
      <c r="AC900" s="2"/>
      <c r="AD900" s="2"/>
      <c r="AE900" s="2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4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</row>
    <row r="901" ht="15.75">
      <c r="A901" s="3"/>
      <c r="B901" s="2"/>
      <c r="C901" s="2"/>
      <c r="D901" s="2"/>
      <c r="E901" s="2"/>
      <c r="F901" s="2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2"/>
      <c r="T901" s="2"/>
      <c r="U901" s="2"/>
      <c r="V901" s="2"/>
      <c r="W901" s="2"/>
      <c r="X901" s="2"/>
      <c r="Y901" s="3"/>
      <c r="Z901" s="3"/>
      <c r="AA901" s="2"/>
      <c r="AB901" s="2"/>
      <c r="AC901" s="2"/>
      <c r="AD901" s="2"/>
      <c r="AE901" s="2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4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</row>
    <row r="902" ht="15.75">
      <c r="A902" s="3"/>
      <c r="B902" s="2"/>
      <c r="C902" s="2"/>
      <c r="D902" s="2"/>
      <c r="E902" s="2"/>
      <c r="F902" s="2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2"/>
      <c r="T902" s="2"/>
      <c r="U902" s="2"/>
      <c r="V902" s="2"/>
      <c r="W902" s="2"/>
      <c r="X902" s="2"/>
      <c r="Y902" s="3"/>
      <c r="Z902" s="3"/>
      <c r="AA902" s="2"/>
      <c r="AB902" s="2"/>
      <c r="AC902" s="2"/>
      <c r="AD902" s="2"/>
      <c r="AE902" s="2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4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</row>
    <row r="903" ht="15.75">
      <c r="A903" s="3"/>
      <c r="B903" s="2"/>
      <c r="C903" s="2"/>
      <c r="D903" s="2"/>
      <c r="E903" s="2"/>
      <c r="F903" s="2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2"/>
      <c r="T903" s="2"/>
      <c r="U903" s="2"/>
      <c r="V903" s="2"/>
      <c r="W903" s="2"/>
      <c r="X903" s="2"/>
      <c r="Y903" s="3"/>
      <c r="Z903" s="3"/>
      <c r="AA903" s="2"/>
      <c r="AB903" s="2"/>
      <c r="AC903" s="2"/>
      <c r="AD903" s="2"/>
      <c r="AE903" s="2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4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</row>
    <row r="904" ht="15.75">
      <c r="A904" s="3"/>
      <c r="B904" s="2"/>
      <c r="C904" s="2"/>
      <c r="D904" s="2"/>
      <c r="E904" s="2"/>
      <c r="F904" s="2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2"/>
      <c r="T904" s="2"/>
      <c r="U904" s="2"/>
      <c r="V904" s="2"/>
      <c r="W904" s="2"/>
      <c r="X904" s="2"/>
      <c r="Y904" s="3"/>
      <c r="Z904" s="3"/>
      <c r="AA904" s="2"/>
      <c r="AB904" s="2"/>
      <c r="AC904" s="2"/>
      <c r="AD904" s="2"/>
      <c r="AE904" s="2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4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</row>
    <row r="905" ht="15.75">
      <c r="A905" s="3"/>
      <c r="B905" s="2"/>
      <c r="C905" s="2"/>
      <c r="D905" s="2"/>
      <c r="E905" s="2"/>
      <c r="F905" s="2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2"/>
      <c r="T905" s="2"/>
      <c r="U905" s="2"/>
      <c r="V905" s="2"/>
      <c r="W905" s="2"/>
      <c r="X905" s="2"/>
      <c r="Y905" s="3"/>
      <c r="Z905" s="3"/>
      <c r="AA905" s="2"/>
      <c r="AB905" s="2"/>
      <c r="AC905" s="2"/>
      <c r="AD905" s="2"/>
      <c r="AE905" s="2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4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</row>
    <row r="906" ht="15.75">
      <c r="A906" s="3"/>
      <c r="B906" s="2"/>
      <c r="C906" s="2"/>
      <c r="D906" s="2"/>
      <c r="E906" s="2"/>
      <c r="F906" s="2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2"/>
      <c r="T906" s="2"/>
      <c r="U906" s="2"/>
      <c r="V906" s="2"/>
      <c r="W906" s="2"/>
      <c r="X906" s="2"/>
      <c r="Y906" s="3"/>
      <c r="Z906" s="3"/>
      <c r="AA906" s="2"/>
      <c r="AB906" s="2"/>
      <c r="AC906" s="2"/>
      <c r="AD906" s="2"/>
      <c r="AE906" s="2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4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</row>
    <row r="907" ht="15.75">
      <c r="A907" s="3"/>
      <c r="B907" s="2"/>
      <c r="C907" s="2"/>
      <c r="D907" s="2"/>
      <c r="E907" s="2"/>
      <c r="F907" s="2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  <c r="S907" s="2"/>
      <c r="T907" s="2"/>
      <c r="U907" s="2"/>
      <c r="V907" s="2"/>
      <c r="W907" s="2"/>
      <c r="X907" s="2"/>
      <c r="Y907" s="3"/>
      <c r="Z907" s="3"/>
      <c r="AA907" s="2"/>
      <c r="AB907" s="2"/>
      <c r="AC907" s="2"/>
      <c r="AD907" s="2"/>
      <c r="AE907" s="2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4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</row>
    <row r="908" ht="15.75">
      <c r="A908" s="3"/>
      <c r="B908" s="2"/>
      <c r="C908" s="2"/>
      <c r="D908" s="2"/>
      <c r="E908" s="2"/>
      <c r="F908" s="2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  <c r="S908" s="2"/>
      <c r="T908" s="2"/>
      <c r="U908" s="2"/>
      <c r="V908" s="2"/>
      <c r="W908" s="2"/>
      <c r="X908" s="2"/>
      <c r="Y908" s="3"/>
      <c r="Z908" s="3"/>
      <c r="AA908" s="2"/>
      <c r="AB908" s="2"/>
      <c r="AC908" s="2"/>
      <c r="AD908" s="2"/>
      <c r="AE908" s="2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4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</row>
    <row r="909" ht="15.75">
      <c r="A909" s="3"/>
      <c r="B909" s="2"/>
      <c r="C909" s="2"/>
      <c r="D909" s="2"/>
      <c r="E909" s="2"/>
      <c r="F909" s="2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2"/>
      <c r="T909" s="2"/>
      <c r="U909" s="2"/>
      <c r="V909" s="2"/>
      <c r="W909" s="2"/>
      <c r="X909" s="2"/>
      <c r="Y909" s="3"/>
      <c r="Z909" s="3"/>
      <c r="AA909" s="2"/>
      <c r="AB909" s="2"/>
      <c r="AC909" s="2"/>
      <c r="AD909" s="2"/>
      <c r="AE909" s="2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4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</row>
    <row r="910" ht="15.75">
      <c r="A910" s="3"/>
      <c r="B910" s="2"/>
      <c r="C910" s="2"/>
      <c r="D910" s="2"/>
      <c r="E910" s="2"/>
      <c r="F910" s="2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2"/>
      <c r="T910" s="2"/>
      <c r="U910" s="2"/>
      <c r="V910" s="2"/>
      <c r="W910" s="2"/>
      <c r="X910" s="2"/>
      <c r="Y910" s="3"/>
      <c r="Z910" s="3"/>
      <c r="AA910" s="2"/>
      <c r="AB910" s="2"/>
      <c r="AC910" s="2"/>
      <c r="AD910" s="2"/>
      <c r="AE910" s="2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4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</row>
    <row r="911" ht="15.75">
      <c r="A911" s="3"/>
      <c r="B911" s="2"/>
      <c r="C911" s="2"/>
      <c r="D911" s="2"/>
      <c r="E911" s="2"/>
      <c r="F911" s="2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2"/>
      <c r="T911" s="2"/>
      <c r="U911" s="2"/>
      <c r="V911" s="2"/>
      <c r="W911" s="2"/>
      <c r="X911" s="2"/>
      <c r="Y911" s="3"/>
      <c r="Z911" s="3"/>
      <c r="AA911" s="2"/>
      <c r="AB911" s="2"/>
      <c r="AC911" s="2"/>
      <c r="AD911" s="2"/>
      <c r="AE911" s="2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4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</row>
    <row r="912" ht="15.75">
      <c r="A912" s="3"/>
      <c r="B912" s="2"/>
      <c r="C912" s="2"/>
      <c r="D912" s="2"/>
      <c r="E912" s="2"/>
      <c r="F912" s="2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2"/>
      <c r="T912" s="2"/>
      <c r="U912" s="2"/>
      <c r="V912" s="2"/>
      <c r="W912" s="2"/>
      <c r="X912" s="2"/>
      <c r="Y912" s="3"/>
      <c r="Z912" s="3"/>
      <c r="AA912" s="2"/>
      <c r="AB912" s="2"/>
      <c r="AC912" s="2"/>
      <c r="AD912" s="2"/>
      <c r="AE912" s="2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4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</row>
    <row r="913" ht="15.75">
      <c r="A913" s="3"/>
      <c r="B913" s="2"/>
      <c r="C913" s="2"/>
      <c r="D913" s="2"/>
      <c r="E913" s="2"/>
      <c r="F913" s="2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2"/>
      <c r="T913" s="2"/>
      <c r="U913" s="2"/>
      <c r="V913" s="2"/>
      <c r="W913" s="2"/>
      <c r="X913" s="2"/>
      <c r="Y913" s="3"/>
      <c r="Z913" s="3"/>
      <c r="AA913" s="2"/>
      <c r="AB913" s="2"/>
      <c r="AC913" s="2"/>
      <c r="AD913" s="2"/>
      <c r="AE913" s="2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4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</row>
    <row r="914" ht="15.75">
      <c r="A914" s="3"/>
      <c r="B914" s="2"/>
      <c r="C914" s="2"/>
      <c r="D914" s="2"/>
      <c r="E914" s="2"/>
      <c r="F914" s="2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2"/>
      <c r="T914" s="2"/>
      <c r="U914" s="2"/>
      <c r="V914" s="2"/>
      <c r="W914" s="2"/>
      <c r="X914" s="2"/>
      <c r="Y914" s="3"/>
      <c r="Z914" s="3"/>
      <c r="AA914" s="2"/>
      <c r="AB914" s="2"/>
      <c r="AC914" s="2"/>
      <c r="AD914" s="2"/>
      <c r="AE914" s="2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4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</row>
    <row r="915" ht="15.75">
      <c r="A915" s="3"/>
      <c r="B915" s="2"/>
      <c r="C915" s="2"/>
      <c r="D915" s="2"/>
      <c r="E915" s="2"/>
      <c r="F915" s="2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2"/>
      <c r="T915" s="2"/>
      <c r="U915" s="2"/>
      <c r="V915" s="2"/>
      <c r="W915" s="2"/>
      <c r="X915" s="2"/>
      <c r="Y915" s="3"/>
      <c r="Z915" s="3"/>
      <c r="AA915" s="2"/>
      <c r="AB915" s="2"/>
      <c r="AC915" s="2"/>
      <c r="AD915" s="2"/>
      <c r="AE915" s="2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4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</row>
    <row r="916" ht="15.75">
      <c r="A916" s="3"/>
      <c r="B916" s="2"/>
      <c r="C916" s="2"/>
      <c r="D916" s="2"/>
      <c r="E916" s="2"/>
      <c r="F916" s="2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2"/>
      <c r="T916" s="2"/>
      <c r="U916" s="2"/>
      <c r="V916" s="2"/>
      <c r="W916" s="2"/>
      <c r="X916" s="2"/>
      <c r="Y916" s="3"/>
      <c r="Z916" s="3"/>
      <c r="AA916" s="2"/>
      <c r="AB916" s="2"/>
      <c r="AC916" s="2"/>
      <c r="AD916" s="2"/>
      <c r="AE916" s="2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4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</row>
    <row r="917" ht="15.75">
      <c r="A917" s="3"/>
      <c r="B917" s="2"/>
      <c r="C917" s="2"/>
      <c r="D917" s="2"/>
      <c r="E917" s="2"/>
      <c r="F917" s="2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2"/>
      <c r="T917" s="2"/>
      <c r="U917" s="2"/>
      <c r="V917" s="2"/>
      <c r="W917" s="2"/>
      <c r="X917" s="2"/>
      <c r="Y917" s="3"/>
      <c r="Z917" s="3"/>
      <c r="AA917" s="2"/>
      <c r="AB917" s="2"/>
      <c r="AC917" s="2"/>
      <c r="AD917" s="2"/>
      <c r="AE917" s="2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4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</row>
    <row r="918" ht="15.75">
      <c r="A918" s="3"/>
      <c r="B918" s="2"/>
      <c r="C918" s="2"/>
      <c r="D918" s="2"/>
      <c r="E918" s="2"/>
      <c r="F918" s="2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  <c r="S918" s="2"/>
      <c r="T918" s="2"/>
      <c r="U918" s="2"/>
      <c r="V918" s="2"/>
      <c r="W918" s="2"/>
      <c r="X918" s="2"/>
      <c r="Y918" s="3"/>
      <c r="Z918" s="3"/>
      <c r="AA918" s="2"/>
      <c r="AB918" s="2"/>
      <c r="AC918" s="2"/>
      <c r="AD918" s="2"/>
      <c r="AE918" s="2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4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</row>
    <row r="919" ht="15.75">
      <c r="A919" s="3"/>
      <c r="B919" s="2"/>
      <c r="C919" s="2"/>
      <c r="D919" s="2"/>
      <c r="E919" s="2"/>
      <c r="F919" s="2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  <c r="S919" s="2"/>
      <c r="T919" s="2"/>
      <c r="U919" s="2"/>
      <c r="V919" s="2"/>
      <c r="W919" s="2"/>
      <c r="X919" s="2"/>
      <c r="Y919" s="3"/>
      <c r="Z919" s="3"/>
      <c r="AA919" s="2"/>
      <c r="AB919" s="2"/>
      <c r="AC919" s="2"/>
      <c r="AD919" s="2"/>
      <c r="AE919" s="2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4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</row>
    <row r="920" ht="15.75">
      <c r="A920" s="3"/>
      <c r="B920" s="2"/>
      <c r="C920" s="2"/>
      <c r="D920" s="2"/>
      <c r="E920" s="2"/>
      <c r="F920" s="2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2"/>
      <c r="T920" s="2"/>
      <c r="U920" s="2"/>
      <c r="V920" s="2"/>
      <c r="W920" s="2"/>
      <c r="X920" s="2"/>
      <c r="Y920" s="3"/>
      <c r="Z920" s="3"/>
      <c r="AA920" s="2"/>
      <c r="AB920" s="2"/>
      <c r="AC920" s="2"/>
      <c r="AD920" s="2"/>
      <c r="AE920" s="2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4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</row>
    <row r="921" ht="15.75">
      <c r="A921" s="3"/>
      <c r="B921" s="2"/>
      <c r="C921" s="2"/>
      <c r="D921" s="2"/>
      <c r="E921" s="2"/>
      <c r="F921" s="2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2"/>
      <c r="T921" s="2"/>
      <c r="U921" s="2"/>
      <c r="V921" s="2"/>
      <c r="W921" s="2"/>
      <c r="X921" s="2"/>
      <c r="Y921" s="3"/>
      <c r="Z921" s="3"/>
      <c r="AA921" s="2"/>
      <c r="AB921" s="2"/>
      <c r="AC921" s="2"/>
      <c r="AD921" s="2"/>
      <c r="AE921" s="2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4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</row>
    <row r="922" ht="15.75">
      <c r="A922" s="3"/>
      <c r="B922" s="2"/>
      <c r="C922" s="2"/>
      <c r="D922" s="2"/>
      <c r="E922" s="2"/>
      <c r="F922" s="2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2"/>
      <c r="T922" s="2"/>
      <c r="U922" s="2"/>
      <c r="V922" s="2"/>
      <c r="W922" s="2"/>
      <c r="X922" s="2"/>
      <c r="Y922" s="3"/>
      <c r="Z922" s="3"/>
      <c r="AA922" s="2"/>
      <c r="AB922" s="2"/>
      <c r="AC922" s="2"/>
      <c r="AD922" s="2"/>
      <c r="AE922" s="2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4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</row>
    <row r="923" ht="15.75">
      <c r="A923" s="3"/>
      <c r="B923" s="2"/>
      <c r="C923" s="2"/>
      <c r="D923" s="2"/>
      <c r="E923" s="2"/>
      <c r="F923" s="2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2"/>
      <c r="T923" s="2"/>
      <c r="U923" s="2"/>
      <c r="V923" s="2"/>
      <c r="W923" s="2"/>
      <c r="X923" s="2"/>
      <c r="Y923" s="3"/>
      <c r="Z923" s="3"/>
      <c r="AA923" s="2"/>
      <c r="AB923" s="2"/>
      <c r="AC923" s="2"/>
      <c r="AD923" s="2"/>
      <c r="AE923" s="2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4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</row>
    <row r="924" ht="15.75">
      <c r="A924" s="3"/>
      <c r="B924" s="2"/>
      <c r="C924" s="2"/>
      <c r="D924" s="2"/>
      <c r="E924" s="2"/>
      <c r="F924" s="2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2"/>
      <c r="T924" s="2"/>
      <c r="U924" s="2"/>
      <c r="V924" s="2"/>
      <c r="W924" s="2"/>
      <c r="X924" s="2"/>
      <c r="Y924" s="3"/>
      <c r="Z924" s="3"/>
      <c r="AA924" s="2"/>
      <c r="AB924" s="2"/>
      <c r="AC924" s="2"/>
      <c r="AD924" s="2"/>
      <c r="AE924" s="2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4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</row>
    <row r="925" ht="15.75">
      <c r="A925" s="3"/>
      <c r="B925" s="2"/>
      <c r="C925" s="2"/>
      <c r="D925" s="2"/>
      <c r="E925" s="2"/>
      <c r="F925" s="2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2"/>
      <c r="T925" s="2"/>
      <c r="U925" s="2"/>
      <c r="V925" s="2"/>
      <c r="W925" s="2"/>
      <c r="X925" s="2"/>
      <c r="Y925" s="3"/>
      <c r="Z925" s="3"/>
      <c r="AA925" s="2"/>
      <c r="AB925" s="2"/>
      <c r="AC925" s="2"/>
      <c r="AD925" s="2"/>
      <c r="AE925" s="2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4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</row>
    <row r="926" ht="15.75">
      <c r="A926" s="3"/>
      <c r="B926" s="2"/>
      <c r="C926" s="2"/>
      <c r="D926" s="2"/>
      <c r="E926" s="2"/>
      <c r="F926" s="2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2"/>
      <c r="T926" s="2"/>
      <c r="U926" s="2"/>
      <c r="V926" s="2"/>
      <c r="W926" s="2"/>
      <c r="X926" s="2"/>
      <c r="Y926" s="3"/>
      <c r="Z926" s="3"/>
      <c r="AA926" s="2"/>
      <c r="AB926" s="2"/>
      <c r="AC926" s="2"/>
      <c r="AD926" s="2"/>
      <c r="AE926" s="2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4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</row>
    <row r="927" ht="15.75">
      <c r="A927" s="3"/>
      <c r="B927" s="2"/>
      <c r="C927" s="2"/>
      <c r="D927" s="2"/>
      <c r="E927" s="2"/>
      <c r="F927" s="2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2"/>
      <c r="T927" s="2"/>
      <c r="U927" s="2"/>
      <c r="V927" s="2"/>
      <c r="W927" s="2"/>
      <c r="X927" s="2"/>
      <c r="Y927" s="3"/>
      <c r="Z927" s="3"/>
      <c r="AA927" s="2"/>
      <c r="AB927" s="2"/>
      <c r="AC927" s="2"/>
      <c r="AD927" s="2"/>
      <c r="AE927" s="2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4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</row>
    <row r="928" ht="15.75">
      <c r="A928" s="3"/>
      <c r="B928" s="2"/>
      <c r="C928" s="2"/>
      <c r="D928" s="2"/>
      <c r="E928" s="2"/>
      <c r="F928" s="2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2"/>
      <c r="T928" s="2"/>
      <c r="U928" s="2"/>
      <c r="V928" s="2"/>
      <c r="W928" s="2"/>
      <c r="X928" s="2"/>
      <c r="Y928" s="3"/>
      <c r="Z928" s="3"/>
      <c r="AA928" s="2"/>
      <c r="AB928" s="2"/>
      <c r="AC928" s="2"/>
      <c r="AD928" s="2"/>
      <c r="AE928" s="2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4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</row>
    <row r="929" ht="15.75">
      <c r="A929" s="3"/>
      <c r="B929" s="2"/>
      <c r="C929" s="2"/>
      <c r="D929" s="2"/>
      <c r="E929" s="2"/>
      <c r="F929" s="2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2"/>
      <c r="T929" s="2"/>
      <c r="U929" s="2"/>
      <c r="V929" s="2"/>
      <c r="W929" s="2"/>
      <c r="X929" s="2"/>
      <c r="Y929" s="3"/>
      <c r="Z929" s="3"/>
      <c r="AA929" s="2"/>
      <c r="AB929" s="2"/>
      <c r="AC929" s="2"/>
      <c r="AD929" s="2"/>
      <c r="AE929" s="2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4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</row>
    <row r="930" ht="15.75">
      <c r="A930" s="3"/>
      <c r="B930" s="2"/>
      <c r="C930" s="2"/>
      <c r="D930" s="2"/>
      <c r="E930" s="2"/>
      <c r="F930" s="2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2"/>
      <c r="T930" s="2"/>
      <c r="U930" s="2"/>
      <c r="V930" s="2"/>
      <c r="W930" s="2"/>
      <c r="X930" s="2"/>
      <c r="Y930" s="3"/>
      <c r="Z930" s="3"/>
      <c r="AA930" s="2"/>
      <c r="AB930" s="2"/>
      <c r="AC930" s="2"/>
      <c r="AD930" s="2"/>
      <c r="AE930" s="2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4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</row>
    <row r="931" ht="15.75">
      <c r="A931" s="3"/>
      <c r="B931" s="2"/>
      <c r="C931" s="2"/>
      <c r="D931" s="2"/>
      <c r="E931" s="2"/>
      <c r="F931" s="2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2"/>
      <c r="T931" s="2"/>
      <c r="U931" s="2"/>
      <c r="V931" s="2"/>
      <c r="W931" s="2"/>
      <c r="X931" s="2"/>
      <c r="Y931" s="3"/>
      <c r="Z931" s="3"/>
      <c r="AA931" s="2"/>
      <c r="AB931" s="2"/>
      <c r="AC931" s="2"/>
      <c r="AD931" s="2"/>
      <c r="AE931" s="2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4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</row>
    <row r="932" ht="15.75">
      <c r="A932" s="3"/>
      <c r="B932" s="2"/>
      <c r="C932" s="2"/>
      <c r="D932" s="2"/>
      <c r="E932" s="2"/>
      <c r="F932" s="2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2"/>
      <c r="T932" s="2"/>
      <c r="U932" s="2"/>
      <c r="V932" s="2"/>
      <c r="W932" s="2"/>
      <c r="X932" s="2"/>
      <c r="Y932" s="3"/>
      <c r="Z932" s="3"/>
      <c r="AA932" s="2"/>
      <c r="AB932" s="2"/>
      <c r="AC932" s="2"/>
      <c r="AD932" s="2"/>
      <c r="AE932" s="2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4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</row>
    <row r="933" ht="15.75">
      <c r="A933" s="3"/>
      <c r="B933" s="2"/>
      <c r="C933" s="2"/>
      <c r="D933" s="2"/>
      <c r="E933" s="2"/>
      <c r="F933" s="2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2"/>
      <c r="T933" s="2"/>
      <c r="U933" s="2"/>
      <c r="V933" s="2"/>
      <c r="W933" s="2"/>
      <c r="X933" s="2"/>
      <c r="Y933" s="3"/>
      <c r="Z933" s="3"/>
      <c r="AA933" s="2"/>
      <c r="AB933" s="2"/>
      <c r="AC933" s="2"/>
      <c r="AD933" s="2"/>
      <c r="AE933" s="2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4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</row>
    <row r="934" ht="15.75">
      <c r="A934" s="3"/>
      <c r="B934" s="2"/>
      <c r="C934" s="2"/>
      <c r="D934" s="2"/>
      <c r="E934" s="2"/>
      <c r="F934" s="2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2"/>
      <c r="T934" s="2"/>
      <c r="U934" s="2"/>
      <c r="V934" s="2"/>
      <c r="W934" s="2"/>
      <c r="X934" s="2"/>
      <c r="Y934" s="3"/>
      <c r="Z934" s="3"/>
      <c r="AA934" s="2"/>
      <c r="AB934" s="2"/>
      <c r="AC934" s="2"/>
      <c r="AD934" s="2"/>
      <c r="AE934" s="2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4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</row>
    <row r="935" ht="15.75">
      <c r="A935" s="3"/>
      <c r="B935" s="2"/>
      <c r="C935" s="2"/>
      <c r="D935" s="2"/>
      <c r="E935" s="2"/>
      <c r="F935" s="2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2"/>
      <c r="T935" s="2"/>
      <c r="U935" s="2"/>
      <c r="V935" s="2"/>
      <c r="W935" s="2"/>
      <c r="X935" s="2"/>
      <c r="Y935" s="3"/>
      <c r="Z935" s="3"/>
      <c r="AA935" s="2"/>
      <c r="AB935" s="2"/>
      <c r="AC935" s="2"/>
      <c r="AD935" s="2"/>
      <c r="AE935" s="2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4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</row>
    <row r="936" ht="15.75">
      <c r="A936" s="3"/>
      <c r="B936" s="2"/>
      <c r="C936" s="2"/>
      <c r="D936" s="2"/>
      <c r="E936" s="2"/>
      <c r="F936" s="2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2"/>
      <c r="T936" s="2"/>
      <c r="U936" s="2"/>
      <c r="V936" s="2"/>
      <c r="W936" s="2"/>
      <c r="X936" s="2"/>
      <c r="Y936" s="3"/>
      <c r="Z936" s="3"/>
      <c r="AA936" s="2"/>
      <c r="AB936" s="2"/>
      <c r="AC936" s="2"/>
      <c r="AD936" s="2"/>
      <c r="AE936" s="2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4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</row>
    <row r="937" ht="15.75">
      <c r="A937" s="3"/>
      <c r="B937" s="2"/>
      <c r="C937" s="2"/>
      <c r="D937" s="2"/>
      <c r="E937" s="2"/>
      <c r="F937" s="2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2"/>
      <c r="T937" s="2"/>
      <c r="U937" s="2"/>
      <c r="V937" s="2"/>
      <c r="W937" s="2"/>
      <c r="X937" s="2"/>
      <c r="Y937" s="3"/>
      <c r="Z937" s="3"/>
      <c r="AA937" s="2"/>
      <c r="AB937" s="2"/>
      <c r="AC937" s="2"/>
      <c r="AD937" s="2"/>
      <c r="AE937" s="2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4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</row>
    <row r="938" ht="15.75">
      <c r="A938" s="3"/>
      <c r="B938" s="2"/>
      <c r="C938" s="2"/>
      <c r="D938" s="2"/>
      <c r="E938" s="2"/>
      <c r="F938" s="2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2"/>
      <c r="T938" s="2"/>
      <c r="U938" s="2"/>
      <c r="V938" s="2"/>
      <c r="W938" s="2"/>
      <c r="X938" s="2"/>
      <c r="Y938" s="3"/>
      <c r="Z938" s="3"/>
      <c r="AA938" s="2"/>
      <c r="AB938" s="2"/>
      <c r="AC938" s="2"/>
      <c r="AD938" s="2"/>
      <c r="AE938" s="2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4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</row>
    <row r="939" ht="15.75">
      <c r="A939" s="3"/>
      <c r="B939" s="2"/>
      <c r="C939" s="2"/>
      <c r="D939" s="2"/>
      <c r="E939" s="2"/>
      <c r="F939" s="2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2"/>
      <c r="T939" s="2"/>
      <c r="U939" s="2"/>
      <c r="V939" s="2"/>
      <c r="W939" s="2"/>
      <c r="X939" s="2"/>
      <c r="Y939" s="3"/>
      <c r="Z939" s="3"/>
      <c r="AA939" s="2"/>
      <c r="AB939" s="2"/>
      <c r="AC939" s="2"/>
      <c r="AD939" s="2"/>
      <c r="AE939" s="2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4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</row>
    <row r="940" ht="15.75">
      <c r="A940" s="3"/>
      <c r="B940" s="2"/>
      <c r="C940" s="2"/>
      <c r="D940" s="2"/>
      <c r="E940" s="2"/>
      <c r="F940" s="2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2"/>
      <c r="T940" s="2"/>
      <c r="U940" s="2"/>
      <c r="V940" s="2"/>
      <c r="W940" s="2"/>
      <c r="X940" s="2"/>
      <c r="Y940" s="3"/>
      <c r="Z940" s="3"/>
      <c r="AA940" s="2"/>
      <c r="AB940" s="2"/>
      <c r="AC940" s="2"/>
      <c r="AD940" s="2"/>
      <c r="AE940" s="2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4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</row>
    <row r="941" ht="15.75">
      <c r="A941" s="3"/>
      <c r="B941" s="2"/>
      <c r="C941" s="2"/>
      <c r="D941" s="2"/>
      <c r="E941" s="2"/>
      <c r="F941" s="2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2"/>
      <c r="T941" s="2"/>
      <c r="U941" s="2"/>
      <c r="V941" s="2"/>
      <c r="W941" s="2"/>
      <c r="X941" s="2"/>
      <c r="Y941" s="3"/>
      <c r="Z941" s="3"/>
      <c r="AA941" s="2"/>
      <c r="AB941" s="2"/>
      <c r="AC941" s="2"/>
      <c r="AD941" s="2"/>
      <c r="AE941" s="2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4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</row>
    <row r="942" ht="15.75">
      <c r="A942" s="3"/>
      <c r="B942" s="2"/>
      <c r="C942" s="2"/>
      <c r="D942" s="2"/>
      <c r="E942" s="2"/>
      <c r="F942" s="2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2"/>
      <c r="T942" s="2"/>
      <c r="U942" s="2"/>
      <c r="V942" s="2"/>
      <c r="W942" s="2"/>
      <c r="X942" s="2"/>
      <c r="Y942" s="3"/>
      <c r="Z942" s="3"/>
      <c r="AA942" s="2"/>
      <c r="AB942" s="2"/>
      <c r="AC942" s="2"/>
      <c r="AD942" s="2"/>
      <c r="AE942" s="2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4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</row>
    <row r="943" ht="15.75">
      <c r="A943" s="3"/>
      <c r="B943" s="2"/>
      <c r="C943" s="2"/>
      <c r="D943" s="2"/>
      <c r="E943" s="2"/>
      <c r="F943" s="2"/>
      <c r="G943" s="2"/>
      <c r="H943" s="2"/>
      <c r="I943" s="2"/>
      <c r="J943" s="3"/>
      <c r="K943" s="3"/>
      <c r="L943" s="3"/>
      <c r="M943" s="3"/>
      <c r="N943" s="3"/>
      <c r="O943" s="3"/>
      <c r="P943" s="3"/>
      <c r="Q943" s="3"/>
      <c r="R943" s="3"/>
      <c r="S943" s="2"/>
      <c r="T943" s="2"/>
      <c r="U943" s="2"/>
      <c r="V943" s="2"/>
      <c r="W943" s="2"/>
      <c r="X943" s="2"/>
      <c r="Y943" s="3"/>
      <c r="Z943" s="3"/>
      <c r="AA943" s="2"/>
      <c r="AB943" s="2"/>
      <c r="AC943" s="2"/>
      <c r="AD943" s="2"/>
      <c r="AE943" s="2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4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</row>
    <row r="944" ht="15.75">
      <c r="A944" s="3"/>
      <c r="B944" s="2"/>
      <c r="C944" s="2"/>
      <c r="D944" s="2"/>
      <c r="E944" s="2"/>
      <c r="F944" s="2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2"/>
      <c r="T944" s="2"/>
      <c r="U944" s="2"/>
      <c r="V944" s="2"/>
      <c r="W944" s="2"/>
      <c r="X944" s="2"/>
      <c r="Y944" s="3"/>
      <c r="Z944" s="3"/>
      <c r="AA944" s="2"/>
      <c r="AB944" s="2"/>
      <c r="AC944" s="2"/>
      <c r="AD944" s="2"/>
      <c r="AE944" s="2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4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</row>
    <row r="945" ht="15.75">
      <c r="A945" s="3"/>
      <c r="B945" s="2"/>
      <c r="C945" s="2"/>
      <c r="D945" s="2"/>
      <c r="E945" s="2"/>
      <c r="F945" s="2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2"/>
      <c r="T945" s="2"/>
      <c r="U945" s="2"/>
      <c r="V945" s="2"/>
      <c r="W945" s="2"/>
      <c r="X945" s="2"/>
      <c r="Y945" s="3"/>
      <c r="Z945" s="3"/>
      <c r="AA945" s="2"/>
      <c r="AB945" s="2"/>
      <c r="AC945" s="2"/>
      <c r="AD945" s="2"/>
      <c r="AE945" s="2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4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</row>
    <row r="946" ht="15.75">
      <c r="A946" s="3"/>
      <c r="B946" s="2"/>
      <c r="C946" s="2"/>
      <c r="D946" s="2"/>
      <c r="E946" s="2"/>
      <c r="F946" s="2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2"/>
      <c r="T946" s="2"/>
      <c r="U946" s="2"/>
      <c r="V946" s="2"/>
      <c r="W946" s="2"/>
      <c r="X946" s="2"/>
      <c r="Y946" s="3"/>
      <c r="Z946" s="3"/>
      <c r="AA946" s="2"/>
      <c r="AB946" s="2"/>
      <c r="AC946" s="2"/>
      <c r="AD946" s="2"/>
      <c r="AE946" s="2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4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</row>
    <row r="947" ht="15.75">
      <c r="A947" s="3"/>
      <c r="B947" s="2"/>
      <c r="C947" s="2"/>
      <c r="D947" s="2"/>
      <c r="E947" s="2"/>
      <c r="F947" s="2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2"/>
      <c r="T947" s="2"/>
      <c r="U947" s="2"/>
      <c r="V947" s="2"/>
      <c r="W947" s="2"/>
      <c r="X947" s="2"/>
      <c r="Y947" s="3"/>
      <c r="Z947" s="3"/>
      <c r="AA947" s="2"/>
      <c r="AB947" s="2"/>
      <c r="AC947" s="2"/>
      <c r="AD947" s="2"/>
      <c r="AE947" s="2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4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</row>
    <row r="948" ht="15.75">
      <c r="A948" s="3"/>
      <c r="B948" s="2"/>
      <c r="C948" s="2"/>
      <c r="D948" s="2"/>
      <c r="E948" s="2"/>
      <c r="F948" s="2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2"/>
      <c r="T948" s="2"/>
      <c r="U948" s="2"/>
      <c r="V948" s="2"/>
      <c r="W948" s="2"/>
      <c r="X948" s="2"/>
      <c r="Y948" s="3"/>
      <c r="Z948" s="3"/>
      <c r="AA948" s="2"/>
      <c r="AB948" s="2"/>
      <c r="AC948" s="2"/>
      <c r="AD948" s="2"/>
      <c r="AE948" s="2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4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</row>
    <row r="949" ht="15.75">
      <c r="A949" s="3"/>
      <c r="B949" s="2"/>
      <c r="C949" s="2"/>
      <c r="D949" s="2"/>
      <c r="E949" s="2"/>
      <c r="F949" s="2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2"/>
      <c r="T949" s="2"/>
      <c r="U949" s="2"/>
      <c r="V949" s="2"/>
      <c r="W949" s="2"/>
      <c r="X949" s="2"/>
      <c r="Y949" s="3"/>
      <c r="Z949" s="3"/>
      <c r="AA949" s="2"/>
      <c r="AB949" s="2"/>
      <c r="AC949" s="2"/>
      <c r="AD949" s="2"/>
      <c r="AE949" s="2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4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</row>
    <row r="950" ht="15.75">
      <c r="A950" s="3"/>
      <c r="B950" s="2"/>
      <c r="C950" s="2"/>
      <c r="D950" s="2"/>
      <c r="E950" s="2"/>
      <c r="F950" s="2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2"/>
      <c r="T950" s="2"/>
      <c r="U950" s="2"/>
      <c r="V950" s="2"/>
      <c r="W950" s="2"/>
      <c r="X950" s="2"/>
      <c r="Y950" s="3"/>
      <c r="Z950" s="3"/>
      <c r="AA950" s="2"/>
      <c r="AB950" s="2"/>
      <c r="AC950" s="2"/>
      <c r="AD950" s="2"/>
      <c r="AE950" s="2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4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</row>
    <row r="951" ht="15.75">
      <c r="A951" s="3"/>
      <c r="B951" s="2"/>
      <c r="C951" s="2"/>
      <c r="D951" s="2"/>
      <c r="E951" s="2"/>
      <c r="F951" s="2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2"/>
      <c r="T951" s="2"/>
      <c r="U951" s="2"/>
      <c r="V951" s="2"/>
      <c r="W951" s="2"/>
      <c r="X951" s="2"/>
      <c r="Y951" s="3"/>
      <c r="Z951" s="3"/>
      <c r="AA951" s="2"/>
      <c r="AB951" s="2"/>
      <c r="AC951" s="2"/>
      <c r="AD951" s="2"/>
      <c r="AE951" s="2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4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</row>
    <row r="952" ht="15.75">
      <c r="A952" s="3"/>
      <c r="B952" s="2"/>
      <c r="C952" s="2"/>
      <c r="D952" s="2"/>
      <c r="E952" s="2"/>
      <c r="F952" s="2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2"/>
      <c r="T952" s="2"/>
      <c r="U952" s="2"/>
      <c r="V952" s="2"/>
      <c r="W952" s="2"/>
      <c r="X952" s="2"/>
      <c r="Y952" s="3"/>
      <c r="Z952" s="3"/>
      <c r="AA952" s="2"/>
      <c r="AB952" s="2"/>
      <c r="AC952" s="2"/>
      <c r="AD952" s="2"/>
      <c r="AE952" s="2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4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</row>
    <row r="953" ht="15.75">
      <c r="A953" s="3"/>
      <c r="B953" s="2"/>
      <c r="C953" s="2"/>
      <c r="D953" s="2"/>
      <c r="E953" s="2"/>
      <c r="F953" s="2"/>
      <c r="G953" s="2"/>
      <c r="H953" s="2"/>
      <c r="I953" s="2"/>
      <c r="J953" s="3"/>
      <c r="K953" s="3"/>
      <c r="L953" s="3"/>
      <c r="M953" s="3"/>
      <c r="N953" s="3"/>
      <c r="O953" s="3"/>
      <c r="P953" s="3"/>
      <c r="Q953" s="3"/>
      <c r="R953" s="3"/>
      <c r="S953" s="2"/>
      <c r="T953" s="2"/>
      <c r="U953" s="2"/>
      <c r="V953" s="2"/>
      <c r="W953" s="2"/>
      <c r="X953" s="2"/>
      <c r="Y953" s="3"/>
      <c r="Z953" s="3"/>
      <c r="AA953" s="2"/>
      <c r="AB953" s="2"/>
      <c r="AC953" s="2"/>
      <c r="AD953" s="2"/>
      <c r="AE953" s="2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4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</row>
    <row r="954" ht="15.75">
      <c r="A954" s="3"/>
      <c r="B954" s="2"/>
      <c r="C954" s="2"/>
      <c r="D954" s="2"/>
      <c r="E954" s="2"/>
      <c r="F954" s="2"/>
      <c r="G954" s="2"/>
      <c r="H954" s="2"/>
      <c r="I954" s="2"/>
      <c r="J954" s="3"/>
      <c r="K954" s="3"/>
      <c r="L954" s="3"/>
      <c r="M954" s="3"/>
      <c r="N954" s="3"/>
      <c r="O954" s="3"/>
      <c r="P954" s="3"/>
      <c r="Q954" s="3"/>
      <c r="R954" s="3"/>
      <c r="S954" s="2"/>
      <c r="T954" s="2"/>
      <c r="U954" s="2"/>
      <c r="V954" s="2"/>
      <c r="W954" s="2"/>
      <c r="X954" s="2"/>
      <c r="Y954" s="3"/>
      <c r="Z954" s="3"/>
      <c r="AA954" s="2"/>
      <c r="AB954" s="2"/>
      <c r="AC954" s="2"/>
      <c r="AD954" s="2"/>
      <c r="AE954" s="2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4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</row>
    <row r="955" ht="15.75">
      <c r="A955" s="3"/>
      <c r="B955" s="2"/>
      <c r="C955" s="2"/>
      <c r="D955" s="2"/>
      <c r="E955" s="2"/>
      <c r="F955" s="2"/>
      <c r="G955" s="2"/>
      <c r="H955" s="2"/>
      <c r="I955" s="2"/>
      <c r="J955" s="3"/>
      <c r="K955" s="3"/>
      <c r="L955" s="3"/>
      <c r="M955" s="3"/>
      <c r="N955" s="3"/>
      <c r="O955" s="3"/>
      <c r="P955" s="3"/>
      <c r="Q955" s="3"/>
      <c r="R955" s="3"/>
      <c r="S955" s="2"/>
      <c r="T955" s="2"/>
      <c r="U955" s="2"/>
      <c r="V955" s="2"/>
      <c r="W955" s="2"/>
      <c r="X955" s="2"/>
      <c r="Y955" s="3"/>
      <c r="Z955" s="3"/>
      <c r="AA955" s="2"/>
      <c r="AB955" s="2"/>
      <c r="AC955" s="2"/>
      <c r="AD955" s="2"/>
      <c r="AE955" s="2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4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</row>
    <row r="956" ht="15.75">
      <c r="A956" s="3"/>
      <c r="B956" s="2"/>
      <c r="C956" s="2"/>
      <c r="D956" s="2"/>
      <c r="E956" s="2"/>
      <c r="F956" s="2"/>
      <c r="G956" s="2"/>
      <c r="H956" s="2"/>
      <c r="I956" s="2"/>
      <c r="J956" s="3"/>
      <c r="K956" s="3"/>
      <c r="L956" s="3"/>
      <c r="M956" s="3"/>
      <c r="N956" s="3"/>
      <c r="O956" s="3"/>
      <c r="P956" s="3"/>
      <c r="Q956" s="3"/>
      <c r="R956" s="3"/>
      <c r="S956" s="2"/>
      <c r="T956" s="2"/>
      <c r="U956" s="2"/>
      <c r="V956" s="2"/>
      <c r="W956" s="2"/>
      <c r="X956" s="2"/>
      <c r="Y956" s="3"/>
      <c r="Z956" s="3"/>
      <c r="AA956" s="2"/>
      <c r="AB956" s="2"/>
      <c r="AC956" s="2"/>
      <c r="AD956" s="2"/>
      <c r="AE956" s="2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4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</row>
    <row r="957" ht="15.75">
      <c r="A957" s="3"/>
      <c r="B957" s="2"/>
      <c r="C957" s="2"/>
      <c r="D957" s="2"/>
      <c r="E957" s="2"/>
      <c r="F957" s="2"/>
      <c r="G957" s="2"/>
      <c r="H957" s="2"/>
      <c r="I957" s="2"/>
      <c r="J957" s="3"/>
      <c r="K957" s="3"/>
      <c r="L957" s="3"/>
      <c r="M957" s="3"/>
      <c r="N957" s="3"/>
      <c r="O957" s="3"/>
      <c r="P957" s="3"/>
      <c r="Q957" s="3"/>
      <c r="R957" s="3"/>
      <c r="S957" s="2"/>
      <c r="T957" s="2"/>
      <c r="U957" s="2"/>
      <c r="V957" s="2"/>
      <c r="W957" s="2"/>
      <c r="X957" s="2"/>
      <c r="Y957" s="3"/>
      <c r="Z957" s="3"/>
      <c r="AA957" s="2"/>
      <c r="AB957" s="2"/>
      <c r="AC957" s="2"/>
      <c r="AD957" s="2"/>
      <c r="AE957" s="2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4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</row>
    <row r="958" ht="15.75">
      <c r="A958" s="3"/>
      <c r="B958" s="2"/>
      <c r="C958" s="2"/>
      <c r="D958" s="2"/>
      <c r="E958" s="2"/>
      <c r="F958" s="2"/>
      <c r="G958" s="2"/>
      <c r="H958" s="2"/>
      <c r="I958" s="2"/>
      <c r="J958" s="3"/>
      <c r="K958" s="3"/>
      <c r="L958" s="3"/>
      <c r="M958" s="3"/>
      <c r="N958" s="3"/>
      <c r="O958" s="3"/>
      <c r="P958" s="3"/>
      <c r="Q958" s="3"/>
      <c r="R958" s="3"/>
      <c r="S958" s="2"/>
      <c r="T958" s="2"/>
      <c r="U958" s="2"/>
      <c r="V958" s="2"/>
      <c r="W958" s="2"/>
      <c r="X958" s="2"/>
      <c r="Y958" s="3"/>
      <c r="Z958" s="3"/>
      <c r="AA958" s="2"/>
      <c r="AB958" s="2"/>
      <c r="AC958" s="2"/>
      <c r="AD958" s="2"/>
      <c r="AE958" s="2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4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</row>
    <row r="959" ht="15.75">
      <c r="A959" s="3"/>
      <c r="B959" s="2"/>
      <c r="C959" s="2"/>
      <c r="D959" s="2"/>
      <c r="E959" s="2"/>
      <c r="F959" s="2"/>
      <c r="G959" s="2"/>
      <c r="H959" s="2"/>
      <c r="I959" s="2"/>
      <c r="J959" s="3"/>
      <c r="K959" s="3"/>
      <c r="L959" s="3"/>
      <c r="M959" s="3"/>
      <c r="N959" s="3"/>
      <c r="O959" s="3"/>
      <c r="P959" s="3"/>
      <c r="Q959" s="3"/>
      <c r="R959" s="3"/>
      <c r="S959" s="2"/>
      <c r="T959" s="2"/>
      <c r="U959" s="2"/>
      <c r="V959" s="2"/>
      <c r="W959" s="2"/>
      <c r="X959" s="2"/>
      <c r="Y959" s="3"/>
      <c r="Z959" s="3"/>
      <c r="AA959" s="2"/>
      <c r="AB959" s="2"/>
      <c r="AC959" s="2"/>
      <c r="AD959" s="2"/>
      <c r="AE959" s="2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4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</row>
    <row r="960" ht="15.75">
      <c r="A960" s="3"/>
      <c r="B960" s="2"/>
      <c r="C960" s="2"/>
      <c r="D960" s="2"/>
      <c r="E960" s="2"/>
      <c r="F960" s="2"/>
      <c r="G960" s="2"/>
      <c r="H960" s="2"/>
      <c r="I960" s="2"/>
      <c r="J960" s="3"/>
      <c r="K960" s="3"/>
      <c r="L960" s="3"/>
      <c r="M960" s="3"/>
      <c r="N960" s="3"/>
      <c r="O960" s="3"/>
      <c r="P960" s="3"/>
      <c r="Q960" s="3"/>
      <c r="R960" s="3"/>
      <c r="S960" s="2"/>
      <c r="T960" s="2"/>
      <c r="U960" s="2"/>
      <c r="V960" s="2"/>
      <c r="W960" s="2"/>
      <c r="X960" s="2"/>
      <c r="Y960" s="3"/>
      <c r="Z960" s="3"/>
      <c r="AA960" s="2"/>
      <c r="AB960" s="2"/>
      <c r="AC960" s="2"/>
      <c r="AD960" s="2"/>
      <c r="AE960" s="2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4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</row>
    <row r="961" ht="15.75">
      <c r="A961" s="3"/>
      <c r="B961" s="2"/>
      <c r="C961" s="2"/>
      <c r="D961" s="2"/>
      <c r="E961" s="2"/>
      <c r="F961" s="2"/>
      <c r="G961" s="2"/>
      <c r="H961" s="2"/>
      <c r="I961" s="2"/>
      <c r="J961" s="3"/>
      <c r="K961" s="3"/>
      <c r="L961" s="3"/>
      <c r="M961" s="3"/>
      <c r="N961" s="3"/>
      <c r="O961" s="3"/>
      <c r="P961" s="3"/>
      <c r="Q961" s="3"/>
      <c r="R961" s="3"/>
      <c r="S961" s="2"/>
      <c r="T961" s="2"/>
      <c r="U961" s="2"/>
      <c r="V961" s="2"/>
      <c r="W961" s="2"/>
      <c r="X961" s="2"/>
      <c r="Y961" s="3"/>
      <c r="Z961" s="3"/>
      <c r="AA961" s="2"/>
      <c r="AB961" s="2"/>
      <c r="AC961" s="2"/>
      <c r="AD961" s="2"/>
      <c r="AE961" s="2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4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</row>
    <row r="962" ht="15.75">
      <c r="A962" s="3"/>
      <c r="B962" s="2"/>
      <c r="C962" s="2"/>
      <c r="D962" s="2"/>
      <c r="E962" s="2"/>
      <c r="F962" s="2"/>
      <c r="G962" s="2"/>
      <c r="H962" s="2"/>
      <c r="I962" s="2"/>
      <c r="J962" s="3"/>
      <c r="K962" s="3"/>
      <c r="L962" s="3"/>
      <c r="M962" s="3"/>
      <c r="N962" s="3"/>
      <c r="O962" s="3"/>
      <c r="P962" s="3"/>
      <c r="Q962" s="3"/>
      <c r="R962" s="3"/>
      <c r="S962" s="2"/>
      <c r="T962" s="2"/>
      <c r="U962" s="2"/>
      <c r="V962" s="2"/>
      <c r="W962" s="2"/>
      <c r="X962" s="2"/>
      <c r="Y962" s="3"/>
      <c r="Z962" s="3"/>
      <c r="AA962" s="2"/>
      <c r="AB962" s="2"/>
      <c r="AC962" s="2"/>
      <c r="AD962" s="2"/>
      <c r="AE962" s="2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4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</row>
    <row r="963" ht="15.75">
      <c r="A963" s="3"/>
      <c r="B963" s="2"/>
      <c r="C963" s="2"/>
      <c r="D963" s="2"/>
      <c r="E963" s="2"/>
      <c r="F963" s="2"/>
      <c r="G963" s="2"/>
      <c r="H963" s="2"/>
      <c r="I963" s="2"/>
      <c r="J963" s="3"/>
      <c r="K963" s="3"/>
      <c r="L963" s="3"/>
      <c r="M963" s="3"/>
      <c r="N963" s="3"/>
      <c r="O963" s="3"/>
      <c r="P963" s="3"/>
      <c r="Q963" s="3"/>
      <c r="R963" s="3"/>
      <c r="S963" s="2"/>
      <c r="T963" s="2"/>
      <c r="U963" s="2"/>
      <c r="V963" s="2"/>
      <c r="W963" s="2"/>
      <c r="X963" s="2"/>
      <c r="Y963" s="3"/>
      <c r="Z963" s="3"/>
      <c r="AA963" s="2"/>
      <c r="AB963" s="2"/>
      <c r="AC963" s="2"/>
      <c r="AD963" s="2"/>
      <c r="AE963" s="2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4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</row>
    <row r="964" ht="15.75">
      <c r="A964" s="3"/>
      <c r="B964" s="2"/>
      <c r="C964" s="2"/>
      <c r="D964" s="2"/>
      <c r="E964" s="2"/>
      <c r="F964" s="2"/>
      <c r="G964" s="2"/>
      <c r="H964" s="2"/>
      <c r="I964" s="2"/>
      <c r="J964" s="3"/>
      <c r="K964" s="3"/>
      <c r="L964" s="3"/>
      <c r="M964" s="3"/>
      <c r="N964" s="3"/>
      <c r="O964" s="3"/>
      <c r="P964" s="3"/>
      <c r="Q964" s="3"/>
      <c r="R964" s="3"/>
      <c r="S964" s="2"/>
      <c r="T964" s="2"/>
      <c r="U964" s="2"/>
      <c r="V964" s="2"/>
      <c r="W964" s="2"/>
      <c r="X964" s="2"/>
      <c r="Y964" s="3"/>
      <c r="Z964" s="3"/>
      <c r="AA964" s="2"/>
      <c r="AB964" s="2"/>
      <c r="AC964" s="2"/>
      <c r="AD964" s="2"/>
      <c r="AE964" s="2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4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</row>
    <row r="965" ht="15.75">
      <c r="A965" s="3"/>
      <c r="B965" s="2"/>
      <c r="C965" s="2"/>
      <c r="D965" s="2"/>
      <c r="E965" s="2"/>
      <c r="F965" s="2"/>
      <c r="G965" s="2"/>
      <c r="H965" s="2"/>
      <c r="I965" s="2"/>
      <c r="J965" s="3"/>
      <c r="K965" s="3"/>
      <c r="L965" s="3"/>
      <c r="M965" s="3"/>
      <c r="N965" s="3"/>
      <c r="O965" s="3"/>
      <c r="P965" s="3"/>
      <c r="Q965" s="3"/>
      <c r="R965" s="3"/>
      <c r="S965" s="2"/>
      <c r="T965" s="2"/>
      <c r="U965" s="2"/>
      <c r="V965" s="2"/>
      <c r="W965" s="2"/>
      <c r="X965" s="2"/>
      <c r="Y965" s="3"/>
      <c r="Z965" s="3"/>
      <c r="AA965" s="2"/>
      <c r="AB965" s="2"/>
      <c r="AC965" s="2"/>
      <c r="AD965" s="2"/>
      <c r="AE965" s="2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4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</row>
    <row r="966" ht="15.75">
      <c r="A966" s="3"/>
      <c r="B966" s="2"/>
      <c r="C966" s="2"/>
      <c r="D966" s="2"/>
      <c r="E966" s="2"/>
      <c r="F966" s="2"/>
      <c r="G966" s="2"/>
      <c r="H966" s="2"/>
      <c r="I966" s="2"/>
      <c r="J966" s="3"/>
      <c r="K966" s="3"/>
      <c r="L966" s="3"/>
      <c r="M966" s="3"/>
      <c r="N966" s="3"/>
      <c r="O966" s="3"/>
      <c r="P966" s="3"/>
      <c r="Q966" s="3"/>
      <c r="R966" s="3"/>
      <c r="S966" s="2"/>
      <c r="T966" s="2"/>
      <c r="U966" s="2"/>
      <c r="V966" s="2"/>
      <c r="W966" s="2"/>
      <c r="X966" s="2"/>
      <c r="Y966" s="3"/>
      <c r="Z966" s="3"/>
      <c r="AA966" s="2"/>
      <c r="AB966" s="2"/>
      <c r="AC966" s="2"/>
      <c r="AD966" s="2"/>
      <c r="AE966" s="2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4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</row>
    <row r="967" ht="15.75">
      <c r="A967" s="3"/>
      <c r="B967" s="2"/>
      <c r="C967" s="2"/>
      <c r="D967" s="2"/>
      <c r="E967" s="2"/>
      <c r="F967" s="2"/>
      <c r="G967" s="2"/>
      <c r="H967" s="2"/>
      <c r="I967" s="2"/>
      <c r="J967" s="3"/>
      <c r="K967" s="3"/>
      <c r="L967" s="3"/>
      <c r="M967" s="3"/>
      <c r="N967" s="3"/>
      <c r="O967" s="3"/>
      <c r="P967" s="3"/>
      <c r="Q967" s="3"/>
      <c r="R967" s="3"/>
      <c r="S967" s="2"/>
      <c r="T967" s="2"/>
      <c r="U967" s="2"/>
      <c r="V967" s="2"/>
      <c r="W967" s="2"/>
      <c r="X967" s="2"/>
      <c r="Y967" s="3"/>
      <c r="Z967" s="3"/>
      <c r="AA967" s="2"/>
      <c r="AB967" s="2"/>
      <c r="AC967" s="2"/>
      <c r="AD967" s="2"/>
      <c r="AE967" s="2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4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</row>
    <row r="968" ht="15.75">
      <c r="A968" s="3"/>
      <c r="B968" s="2"/>
      <c r="C968" s="2"/>
      <c r="D968" s="2"/>
      <c r="E968" s="2"/>
      <c r="F968" s="2"/>
      <c r="G968" s="2"/>
      <c r="H968" s="2"/>
      <c r="I968" s="2"/>
      <c r="J968" s="3"/>
      <c r="K968" s="3"/>
      <c r="L968" s="3"/>
      <c r="M968" s="3"/>
      <c r="N968" s="3"/>
      <c r="O968" s="3"/>
      <c r="P968" s="3"/>
      <c r="Q968" s="3"/>
      <c r="R968" s="3"/>
      <c r="S968" s="2"/>
      <c r="T968" s="2"/>
      <c r="U968" s="2"/>
      <c r="V968" s="2"/>
      <c r="W968" s="2"/>
      <c r="X968" s="2"/>
      <c r="Y968" s="3"/>
      <c r="Z968" s="3"/>
      <c r="AA968" s="2"/>
      <c r="AB968" s="2"/>
      <c r="AC968" s="2"/>
      <c r="AD968" s="2"/>
      <c r="AE968" s="2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4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</row>
    <row r="969" ht="15.75">
      <c r="A969" s="3"/>
      <c r="B969" s="2"/>
      <c r="C969" s="2"/>
      <c r="D969" s="2"/>
      <c r="E969" s="2"/>
      <c r="F969" s="2"/>
      <c r="G969" s="2"/>
      <c r="H969" s="2"/>
      <c r="I969" s="2"/>
      <c r="J969" s="3"/>
      <c r="K969" s="3"/>
      <c r="L969" s="3"/>
      <c r="M969" s="3"/>
      <c r="N969" s="3"/>
      <c r="O969" s="3"/>
      <c r="P969" s="3"/>
      <c r="Q969" s="3"/>
      <c r="R969" s="3"/>
      <c r="S969" s="2"/>
      <c r="T969" s="2"/>
      <c r="U969" s="2"/>
      <c r="V969" s="2"/>
      <c r="W969" s="2"/>
      <c r="X969" s="2"/>
      <c r="Y969" s="3"/>
      <c r="Z969" s="3"/>
      <c r="AA969" s="2"/>
      <c r="AB969" s="2"/>
      <c r="AC969" s="2"/>
      <c r="AD969" s="2"/>
      <c r="AE969" s="2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4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</row>
    <row r="970" ht="15.75">
      <c r="A970" s="3"/>
      <c r="B970" s="2"/>
      <c r="C970" s="2"/>
      <c r="D970" s="2"/>
      <c r="E970" s="2"/>
      <c r="F970" s="2"/>
      <c r="G970" s="2"/>
      <c r="H970" s="2"/>
      <c r="I970" s="2"/>
      <c r="J970" s="3"/>
      <c r="K970" s="3"/>
      <c r="L970" s="3"/>
      <c r="M970" s="3"/>
      <c r="N970" s="3"/>
      <c r="O970" s="3"/>
      <c r="P970" s="3"/>
      <c r="Q970" s="3"/>
      <c r="R970" s="3"/>
      <c r="S970" s="2"/>
      <c r="T970" s="2"/>
      <c r="U970" s="2"/>
      <c r="V970" s="2"/>
      <c r="W970" s="2"/>
      <c r="X970" s="2"/>
      <c r="Y970" s="3"/>
      <c r="Z970" s="3"/>
      <c r="AA970" s="2"/>
      <c r="AB970" s="2"/>
      <c r="AC970" s="2"/>
      <c r="AD970" s="2"/>
      <c r="AE970" s="2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4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</row>
    <row r="971" ht="15.75">
      <c r="A971" s="3"/>
      <c r="B971" s="2"/>
      <c r="C971" s="2"/>
      <c r="D971" s="2"/>
      <c r="E971" s="2"/>
      <c r="F971" s="2"/>
      <c r="G971" s="2"/>
      <c r="H971" s="2"/>
      <c r="I971" s="2"/>
      <c r="J971" s="3"/>
      <c r="K971" s="3"/>
      <c r="L971" s="3"/>
      <c r="M971" s="3"/>
      <c r="N971" s="3"/>
      <c r="O971" s="3"/>
      <c r="P971" s="3"/>
      <c r="Q971" s="3"/>
      <c r="R971" s="3"/>
      <c r="S971" s="2"/>
      <c r="T971" s="2"/>
      <c r="U971" s="2"/>
      <c r="V971" s="2"/>
      <c r="W971" s="2"/>
      <c r="X971" s="2"/>
      <c r="Y971" s="3"/>
      <c r="Z971" s="3"/>
      <c r="AA971" s="2"/>
      <c r="AB971" s="2"/>
      <c r="AC971" s="2"/>
      <c r="AD971" s="2"/>
      <c r="AE971" s="2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4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</row>
    <row r="972" ht="15.75">
      <c r="A972" s="3"/>
      <c r="B972" s="2"/>
      <c r="C972" s="2"/>
      <c r="D972" s="2"/>
      <c r="E972" s="2"/>
      <c r="F972" s="2"/>
      <c r="G972" s="2"/>
      <c r="H972" s="2"/>
      <c r="I972" s="2"/>
      <c r="J972" s="3"/>
      <c r="K972" s="3"/>
      <c r="L972" s="3"/>
      <c r="M972" s="3"/>
      <c r="N972" s="3"/>
      <c r="O972" s="3"/>
      <c r="P972" s="3"/>
      <c r="Q972" s="3"/>
      <c r="R972" s="3"/>
      <c r="S972" s="2"/>
      <c r="T972" s="2"/>
      <c r="U972" s="2"/>
      <c r="V972" s="2"/>
      <c r="W972" s="2"/>
      <c r="X972" s="2"/>
      <c r="Y972" s="3"/>
      <c r="Z972" s="3"/>
      <c r="AA972" s="2"/>
      <c r="AB972" s="2"/>
      <c r="AC972" s="2"/>
      <c r="AD972" s="2"/>
      <c r="AE972" s="2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4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</row>
    <row r="973" ht="15.75">
      <c r="A973" s="3"/>
      <c r="B973" s="2"/>
      <c r="C973" s="2"/>
      <c r="D973" s="2"/>
      <c r="E973" s="2"/>
      <c r="F973" s="2"/>
      <c r="G973" s="2"/>
      <c r="H973" s="2"/>
      <c r="I973" s="2"/>
      <c r="J973" s="3"/>
      <c r="K973" s="3"/>
      <c r="L973" s="3"/>
      <c r="M973" s="3"/>
      <c r="N973" s="3"/>
      <c r="O973" s="3"/>
      <c r="P973" s="3"/>
      <c r="Q973" s="3"/>
      <c r="R973" s="3"/>
      <c r="S973" s="2"/>
      <c r="T973" s="2"/>
      <c r="U973" s="2"/>
      <c r="V973" s="2"/>
      <c r="W973" s="2"/>
      <c r="X973" s="2"/>
      <c r="Y973" s="3"/>
      <c r="Z973" s="3"/>
      <c r="AA973" s="2"/>
      <c r="AB973" s="2"/>
      <c r="AC973" s="2"/>
      <c r="AD973" s="2"/>
      <c r="AE973" s="2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4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</row>
    <row r="974" ht="15.75">
      <c r="A974" s="3"/>
      <c r="B974" s="2"/>
      <c r="C974" s="2"/>
      <c r="D974" s="2"/>
      <c r="E974" s="2"/>
      <c r="F974" s="2"/>
      <c r="G974" s="2"/>
      <c r="H974" s="2"/>
      <c r="I974" s="2"/>
      <c r="J974" s="3"/>
      <c r="K974" s="3"/>
      <c r="L974" s="3"/>
      <c r="M974" s="3"/>
      <c r="N974" s="3"/>
      <c r="O974" s="3"/>
      <c r="P974" s="3"/>
      <c r="Q974" s="3"/>
      <c r="R974" s="3"/>
      <c r="S974" s="2"/>
      <c r="T974" s="2"/>
      <c r="U974" s="2"/>
      <c r="V974" s="2"/>
      <c r="W974" s="2"/>
      <c r="X974" s="2"/>
      <c r="Y974" s="3"/>
      <c r="Z974" s="3"/>
      <c r="AA974" s="2"/>
      <c r="AB974" s="2"/>
      <c r="AC974" s="2"/>
      <c r="AD974" s="2"/>
      <c r="AE974" s="2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4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</row>
    <row r="975" ht="15.75">
      <c r="A975" s="3"/>
      <c r="B975" s="2"/>
      <c r="C975" s="2"/>
      <c r="D975" s="2"/>
      <c r="E975" s="2"/>
      <c r="F975" s="2"/>
      <c r="G975" s="2"/>
      <c r="H975" s="2"/>
      <c r="I975" s="2"/>
      <c r="J975" s="3"/>
      <c r="K975" s="3"/>
      <c r="L975" s="3"/>
      <c r="M975" s="3"/>
      <c r="N975" s="3"/>
      <c r="O975" s="3"/>
      <c r="P975" s="3"/>
      <c r="Q975" s="3"/>
      <c r="R975" s="3"/>
      <c r="S975" s="2"/>
      <c r="T975" s="2"/>
      <c r="U975" s="2"/>
      <c r="V975" s="2"/>
      <c r="W975" s="2"/>
      <c r="X975" s="2"/>
      <c r="Y975" s="3"/>
      <c r="Z975" s="3"/>
      <c r="AA975" s="2"/>
      <c r="AB975" s="2"/>
      <c r="AC975" s="2"/>
      <c r="AD975" s="2"/>
      <c r="AE975" s="2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4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</row>
    <row r="976" ht="15.75">
      <c r="A976" s="3"/>
      <c r="B976" s="2"/>
      <c r="C976" s="2"/>
      <c r="D976" s="2"/>
      <c r="E976" s="2"/>
      <c r="F976" s="2"/>
      <c r="G976" s="2"/>
      <c r="H976" s="2"/>
      <c r="I976" s="2"/>
      <c r="J976" s="3"/>
      <c r="K976" s="3"/>
      <c r="L976" s="3"/>
      <c r="M976" s="3"/>
      <c r="N976" s="3"/>
      <c r="O976" s="3"/>
      <c r="P976" s="3"/>
      <c r="Q976" s="3"/>
      <c r="R976" s="3"/>
      <c r="S976" s="2"/>
      <c r="T976" s="2"/>
      <c r="U976" s="2"/>
      <c r="V976" s="2"/>
      <c r="W976" s="2"/>
      <c r="X976" s="2"/>
      <c r="Y976" s="3"/>
      <c r="Z976" s="3"/>
      <c r="AA976" s="2"/>
      <c r="AB976" s="2"/>
      <c r="AC976" s="2"/>
      <c r="AD976" s="2"/>
      <c r="AE976" s="2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4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</row>
    <row r="977" ht="15.75">
      <c r="A977" s="3"/>
      <c r="B977" s="2"/>
      <c r="C977" s="2"/>
      <c r="D977" s="2"/>
      <c r="E977" s="2"/>
      <c r="F977" s="2"/>
      <c r="G977" s="2"/>
      <c r="H977" s="2"/>
      <c r="I977" s="2"/>
      <c r="J977" s="3"/>
      <c r="K977" s="3"/>
      <c r="L977" s="3"/>
      <c r="M977" s="3"/>
      <c r="N977" s="3"/>
      <c r="O977" s="3"/>
      <c r="P977" s="3"/>
      <c r="Q977" s="3"/>
      <c r="R977" s="3"/>
      <c r="S977" s="2"/>
      <c r="T977" s="2"/>
      <c r="U977" s="2"/>
      <c r="V977" s="2"/>
      <c r="W977" s="2"/>
      <c r="X977" s="2"/>
      <c r="Y977" s="3"/>
      <c r="Z977" s="3"/>
      <c r="AA977" s="2"/>
      <c r="AB977" s="2"/>
      <c r="AC977" s="2"/>
      <c r="AD977" s="2"/>
      <c r="AE977" s="2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4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</row>
    <row r="978" ht="15.75">
      <c r="A978" s="3"/>
      <c r="B978" s="2"/>
      <c r="C978" s="2"/>
      <c r="D978" s="2"/>
      <c r="E978" s="2"/>
      <c r="F978" s="2"/>
      <c r="G978" s="2"/>
      <c r="H978" s="2"/>
      <c r="I978" s="2"/>
      <c r="J978" s="3"/>
      <c r="K978" s="3"/>
      <c r="L978" s="3"/>
      <c r="M978" s="3"/>
      <c r="N978" s="3"/>
      <c r="O978" s="3"/>
      <c r="P978" s="3"/>
      <c r="Q978" s="3"/>
      <c r="R978" s="3"/>
      <c r="S978" s="2"/>
      <c r="T978" s="2"/>
      <c r="U978" s="2"/>
      <c r="V978" s="2"/>
      <c r="W978" s="2"/>
      <c r="X978" s="2"/>
      <c r="Y978" s="3"/>
      <c r="Z978" s="3"/>
      <c r="AA978" s="2"/>
      <c r="AB978" s="2"/>
      <c r="AC978" s="2"/>
      <c r="AD978" s="2"/>
      <c r="AE978" s="2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4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</row>
    <row r="979" ht="15.75">
      <c r="A979" s="3"/>
      <c r="B979" s="2"/>
      <c r="C979" s="2"/>
      <c r="D979" s="2"/>
      <c r="E979" s="2"/>
      <c r="F979" s="2"/>
      <c r="G979" s="2"/>
      <c r="H979" s="2"/>
      <c r="I979" s="2"/>
      <c r="J979" s="3"/>
      <c r="K979" s="3"/>
      <c r="L979" s="3"/>
      <c r="M979" s="3"/>
      <c r="N979" s="3"/>
      <c r="O979" s="3"/>
      <c r="P979" s="3"/>
      <c r="Q979" s="3"/>
      <c r="R979" s="3"/>
      <c r="S979" s="2"/>
      <c r="T979" s="2"/>
      <c r="U979" s="2"/>
      <c r="V979" s="2"/>
      <c r="W979" s="2"/>
      <c r="X979" s="2"/>
      <c r="Y979" s="3"/>
      <c r="Z979" s="3"/>
      <c r="AA979" s="2"/>
      <c r="AB979" s="2"/>
      <c r="AC979" s="2"/>
      <c r="AD979" s="2"/>
      <c r="AE979" s="2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4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</row>
    <row r="980" ht="15.75">
      <c r="A980" s="3"/>
      <c r="B980" s="2"/>
      <c r="C980" s="2"/>
      <c r="D980" s="2"/>
      <c r="E980" s="2"/>
      <c r="F980" s="2"/>
      <c r="G980" s="2"/>
      <c r="H980" s="2"/>
      <c r="I980" s="2"/>
      <c r="J980" s="3"/>
      <c r="K980" s="3"/>
      <c r="L980" s="3"/>
      <c r="M980" s="3"/>
      <c r="N980" s="3"/>
      <c r="O980" s="3"/>
      <c r="P980" s="3"/>
      <c r="Q980" s="3"/>
      <c r="R980" s="3"/>
      <c r="S980" s="2"/>
      <c r="T980" s="2"/>
      <c r="U980" s="2"/>
      <c r="V980" s="2"/>
      <c r="W980" s="2"/>
      <c r="X980" s="2"/>
      <c r="Y980" s="3"/>
      <c r="Z980" s="3"/>
      <c r="AA980" s="2"/>
      <c r="AB980" s="2"/>
      <c r="AC980" s="2"/>
      <c r="AD980" s="2"/>
      <c r="AE980" s="2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4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</row>
    <row r="981" ht="15.75">
      <c r="A981" s="3"/>
      <c r="B981" s="2"/>
      <c r="C981" s="2"/>
      <c r="D981" s="2"/>
      <c r="E981" s="2"/>
      <c r="F981" s="2"/>
      <c r="G981" s="2"/>
      <c r="H981" s="2"/>
      <c r="I981" s="2"/>
      <c r="J981" s="3"/>
      <c r="K981" s="3"/>
      <c r="L981" s="3"/>
      <c r="M981" s="3"/>
      <c r="N981" s="3"/>
      <c r="O981" s="3"/>
      <c r="P981" s="3"/>
      <c r="Q981" s="3"/>
      <c r="R981" s="3"/>
      <c r="S981" s="2"/>
      <c r="T981" s="2"/>
      <c r="U981" s="2"/>
      <c r="V981" s="2"/>
      <c r="W981" s="2"/>
      <c r="X981" s="2"/>
      <c r="Y981" s="3"/>
      <c r="Z981" s="3"/>
      <c r="AA981" s="2"/>
      <c r="AB981" s="2"/>
      <c r="AC981" s="2"/>
      <c r="AD981" s="2"/>
      <c r="AE981" s="2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4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</row>
    <row r="982" ht="15.75">
      <c r="A982" s="3"/>
      <c r="B982" s="2"/>
      <c r="C982" s="2"/>
      <c r="D982" s="2"/>
      <c r="E982" s="2"/>
      <c r="F982" s="2"/>
      <c r="G982" s="2"/>
      <c r="H982" s="2"/>
      <c r="I982" s="2"/>
      <c r="J982" s="3"/>
      <c r="K982" s="3"/>
      <c r="L982" s="3"/>
      <c r="M982" s="3"/>
      <c r="N982" s="3"/>
      <c r="O982" s="3"/>
      <c r="P982" s="3"/>
      <c r="Q982" s="3"/>
      <c r="R982" s="3"/>
      <c r="S982" s="2"/>
      <c r="T982" s="2"/>
      <c r="U982" s="2"/>
      <c r="V982" s="2"/>
      <c r="W982" s="2"/>
      <c r="X982" s="2"/>
      <c r="Y982" s="3"/>
      <c r="Z982" s="3"/>
      <c r="AA982" s="2"/>
      <c r="AB982" s="2"/>
      <c r="AC982" s="2"/>
      <c r="AD982" s="2"/>
      <c r="AE982" s="2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4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</row>
    <row r="983" ht="15.75">
      <c r="A983" s="3"/>
      <c r="B983" s="2"/>
      <c r="C983" s="2"/>
      <c r="D983" s="2"/>
      <c r="E983" s="2"/>
      <c r="F983" s="2"/>
      <c r="G983" s="2"/>
      <c r="H983" s="2"/>
      <c r="I983" s="2"/>
      <c r="J983" s="3"/>
      <c r="K983" s="3"/>
      <c r="L983" s="3"/>
      <c r="M983" s="3"/>
      <c r="N983" s="3"/>
      <c r="O983" s="3"/>
      <c r="P983" s="3"/>
      <c r="Q983" s="3"/>
      <c r="R983" s="3"/>
      <c r="S983" s="2"/>
      <c r="T983" s="2"/>
      <c r="U983" s="2"/>
      <c r="V983" s="2"/>
      <c r="W983" s="2"/>
      <c r="X983" s="2"/>
      <c r="Y983" s="3"/>
      <c r="Z983" s="3"/>
      <c r="AA983" s="2"/>
      <c r="AB983" s="2"/>
      <c r="AC983" s="2"/>
      <c r="AD983" s="2"/>
      <c r="AE983" s="2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4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</row>
    <row r="984" ht="15.75">
      <c r="A984" s="3"/>
      <c r="B984" s="2"/>
      <c r="C984" s="2"/>
      <c r="D984" s="2"/>
      <c r="E984" s="2"/>
      <c r="F984" s="2"/>
      <c r="G984" s="2"/>
      <c r="H984" s="2"/>
      <c r="I984" s="2"/>
      <c r="J984" s="3"/>
      <c r="K984" s="3"/>
      <c r="L984" s="3"/>
      <c r="M984" s="3"/>
      <c r="N984" s="3"/>
      <c r="O984" s="3"/>
      <c r="P984" s="3"/>
      <c r="Q984" s="3"/>
      <c r="R984" s="3"/>
      <c r="S984" s="2"/>
      <c r="T984" s="2"/>
      <c r="U984" s="2"/>
      <c r="V984" s="2"/>
      <c r="W984" s="2"/>
      <c r="X984" s="2"/>
      <c r="Y984" s="3"/>
      <c r="Z984" s="3"/>
      <c r="AA984" s="2"/>
      <c r="AB984" s="2"/>
      <c r="AC984" s="2"/>
      <c r="AD984" s="2"/>
      <c r="AE984" s="2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4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</row>
    <row r="985" ht="15.75">
      <c r="A985" s="3"/>
      <c r="B985" s="2"/>
      <c r="C985" s="2"/>
      <c r="D985" s="2"/>
      <c r="E985" s="2"/>
      <c r="F985" s="2"/>
      <c r="G985" s="2"/>
      <c r="H985" s="2"/>
      <c r="I985" s="2"/>
      <c r="J985" s="3"/>
      <c r="K985" s="3"/>
      <c r="L985" s="3"/>
      <c r="M985" s="3"/>
      <c r="N985" s="3"/>
      <c r="O985" s="3"/>
      <c r="P985" s="3"/>
      <c r="Q985" s="3"/>
      <c r="R985" s="3"/>
      <c r="S985" s="2"/>
      <c r="T985" s="2"/>
      <c r="U985" s="2"/>
      <c r="V985" s="2"/>
      <c r="W985" s="2"/>
      <c r="X985" s="2"/>
      <c r="Y985" s="3"/>
      <c r="Z985" s="3"/>
      <c r="AA985" s="2"/>
      <c r="AB985" s="2"/>
      <c r="AC985" s="2"/>
      <c r="AD985" s="2"/>
      <c r="AE985" s="2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4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</row>
    <row r="986" ht="15.75">
      <c r="A986" s="3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3"/>
      <c r="M986" s="3"/>
      <c r="N986" s="3"/>
      <c r="O986" s="3"/>
      <c r="P986" s="3"/>
      <c r="Q986" s="3"/>
      <c r="R986" s="3"/>
      <c r="S986" s="2"/>
      <c r="T986" s="2"/>
      <c r="U986" s="2"/>
      <c r="V986" s="2"/>
      <c r="W986" s="2"/>
      <c r="X986" s="2"/>
      <c r="Y986" s="3"/>
      <c r="Z986" s="3"/>
      <c r="AA986" s="2"/>
      <c r="AB986" s="2"/>
      <c r="AC986" s="2"/>
      <c r="AD986" s="2"/>
      <c r="AE986" s="2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4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</row>
    <row r="987" ht="15.75">
      <c r="A987" s="3"/>
      <c r="B987" s="2"/>
      <c r="C987" s="2"/>
      <c r="D987" s="2"/>
      <c r="E987" s="2"/>
      <c r="F987" s="2"/>
      <c r="G987" s="2"/>
      <c r="H987" s="2"/>
      <c r="I987" s="2"/>
      <c r="J987" s="3"/>
      <c r="K987" s="3"/>
      <c r="L987" s="3"/>
      <c r="M987" s="3"/>
      <c r="N987" s="3"/>
      <c r="O987" s="3"/>
      <c r="P987" s="3"/>
      <c r="Q987" s="3"/>
      <c r="R987" s="3"/>
      <c r="S987" s="2"/>
      <c r="T987" s="2"/>
      <c r="U987" s="2"/>
      <c r="V987" s="2"/>
      <c r="W987" s="2"/>
      <c r="X987" s="2"/>
      <c r="Y987" s="3"/>
      <c r="Z987" s="3"/>
      <c r="AA987" s="2"/>
      <c r="AB987" s="2"/>
      <c r="AC987" s="2"/>
      <c r="AD987" s="2"/>
      <c r="AE987" s="2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4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</row>
    <row r="988" ht="15.75">
      <c r="A988" s="3"/>
      <c r="B988" s="2"/>
      <c r="C988" s="2"/>
      <c r="D988" s="2"/>
      <c r="E988" s="2"/>
      <c r="F988" s="2"/>
      <c r="G988" s="2"/>
      <c r="H988" s="2"/>
      <c r="I988" s="2"/>
      <c r="J988" s="3"/>
      <c r="K988" s="3"/>
      <c r="L988" s="3"/>
      <c r="M988" s="3"/>
      <c r="N988" s="3"/>
      <c r="O988" s="3"/>
      <c r="P988" s="3"/>
      <c r="Q988" s="3"/>
      <c r="R988" s="3"/>
      <c r="S988" s="2"/>
      <c r="T988" s="2"/>
      <c r="U988" s="2"/>
      <c r="V988" s="2"/>
      <c r="W988" s="2"/>
      <c r="X988" s="2"/>
      <c r="Y988" s="3"/>
      <c r="Z988" s="3"/>
      <c r="AA988" s="2"/>
      <c r="AB988" s="2"/>
      <c r="AC988" s="2"/>
      <c r="AD988" s="2"/>
      <c r="AE988" s="2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4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</row>
    <row r="989" ht="15.75">
      <c r="A989" s="3"/>
      <c r="B989" s="2"/>
      <c r="C989" s="2"/>
      <c r="D989" s="2"/>
      <c r="E989" s="2"/>
      <c r="F989" s="2"/>
      <c r="G989" s="2"/>
      <c r="H989" s="2"/>
      <c r="I989" s="2"/>
      <c r="J989" s="3"/>
      <c r="K989" s="3"/>
      <c r="L989" s="3"/>
      <c r="M989" s="3"/>
      <c r="N989" s="3"/>
      <c r="O989" s="3"/>
      <c r="P989" s="3"/>
      <c r="Q989" s="3"/>
      <c r="R989" s="3"/>
      <c r="S989" s="2"/>
      <c r="T989" s="2"/>
      <c r="U989" s="2"/>
      <c r="V989" s="2"/>
      <c r="W989" s="2"/>
      <c r="X989" s="2"/>
      <c r="Y989" s="3"/>
      <c r="Z989" s="3"/>
      <c r="AA989" s="2"/>
      <c r="AB989" s="2"/>
      <c r="AC989" s="2"/>
      <c r="AD989" s="2"/>
      <c r="AE989" s="2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4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</row>
    <row r="990" ht="15.75">
      <c r="A990" s="3"/>
      <c r="B990" s="2"/>
      <c r="C990" s="2"/>
      <c r="D990" s="2"/>
      <c r="E990" s="2"/>
      <c r="F990" s="2"/>
      <c r="G990" s="2"/>
      <c r="H990" s="2"/>
      <c r="I990" s="2"/>
      <c r="J990" s="3"/>
      <c r="K990" s="3"/>
      <c r="L990" s="3"/>
      <c r="M990" s="3"/>
      <c r="N990" s="3"/>
      <c r="O990" s="3"/>
      <c r="P990" s="3"/>
      <c r="Q990" s="3"/>
      <c r="R990" s="3"/>
      <c r="S990" s="2"/>
      <c r="T990" s="2"/>
      <c r="U990" s="2"/>
      <c r="V990" s="2"/>
      <c r="W990" s="2"/>
      <c r="X990" s="2"/>
      <c r="Y990" s="3"/>
      <c r="Z990" s="3"/>
      <c r="AA990" s="2"/>
      <c r="AB990" s="2"/>
      <c r="AC990" s="2"/>
      <c r="AD990" s="2"/>
      <c r="AE990" s="2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4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</row>
    <row r="991" ht="15.75">
      <c r="A991" s="3"/>
      <c r="B991" s="2"/>
      <c r="C991" s="2"/>
      <c r="D991" s="2"/>
      <c r="E991" s="2"/>
      <c r="F991" s="2"/>
      <c r="G991" s="2"/>
      <c r="H991" s="2"/>
      <c r="I991" s="2"/>
      <c r="J991" s="3"/>
      <c r="K991" s="3"/>
      <c r="L991" s="3"/>
      <c r="M991" s="3"/>
      <c r="N991" s="3"/>
      <c r="O991" s="3"/>
      <c r="P991" s="3"/>
      <c r="Q991" s="3"/>
      <c r="R991" s="3"/>
      <c r="S991" s="2"/>
      <c r="T991" s="2"/>
      <c r="U991" s="2"/>
      <c r="V991" s="2"/>
      <c r="W991" s="2"/>
      <c r="X991" s="2"/>
      <c r="Y991" s="3"/>
      <c r="Z991" s="3"/>
      <c r="AA991" s="2"/>
      <c r="AB991" s="2"/>
      <c r="AC991" s="2"/>
      <c r="AD991" s="2"/>
      <c r="AE991" s="2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4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</row>
    <row r="992" ht="15.75">
      <c r="A992" s="3"/>
      <c r="B992" s="2"/>
      <c r="C992" s="2"/>
      <c r="D992" s="2"/>
      <c r="E992" s="2"/>
      <c r="F992" s="2"/>
      <c r="G992" s="2"/>
      <c r="H992" s="2"/>
      <c r="I992" s="2"/>
      <c r="J992" s="3"/>
      <c r="K992" s="3"/>
      <c r="L992" s="3"/>
      <c r="M992" s="3"/>
      <c r="N992" s="3"/>
      <c r="O992" s="3"/>
      <c r="P992" s="3"/>
      <c r="Q992" s="3"/>
      <c r="R992" s="3"/>
      <c r="S992" s="2"/>
      <c r="T992" s="2"/>
      <c r="U992" s="2"/>
      <c r="V992" s="2"/>
      <c r="W992" s="2"/>
      <c r="X992" s="2"/>
      <c r="Y992" s="3"/>
      <c r="Z992" s="3"/>
      <c r="AA992" s="2"/>
      <c r="AB992" s="2"/>
      <c r="AC992" s="2"/>
      <c r="AD992" s="2"/>
      <c r="AE992" s="2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4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</row>
    <row r="993" ht="15.75">
      <c r="A993" s="3"/>
      <c r="B993" s="2"/>
      <c r="C993" s="2"/>
      <c r="D993" s="2"/>
      <c r="E993" s="2"/>
      <c r="F993" s="2"/>
      <c r="G993" s="2"/>
      <c r="H993" s="2"/>
      <c r="I993" s="2"/>
      <c r="J993" s="3"/>
      <c r="K993" s="3"/>
      <c r="L993" s="3"/>
      <c r="M993" s="3"/>
      <c r="N993" s="3"/>
      <c r="O993" s="3"/>
      <c r="P993" s="3"/>
      <c r="Q993" s="3"/>
      <c r="R993" s="3"/>
      <c r="S993" s="2"/>
      <c r="T993" s="2"/>
      <c r="U993" s="2"/>
      <c r="V993" s="2"/>
      <c r="W993" s="2"/>
      <c r="X993" s="2"/>
      <c r="Y993" s="3"/>
      <c r="Z993" s="3"/>
      <c r="AA993" s="2"/>
      <c r="AB993" s="2"/>
      <c r="AC993" s="2"/>
      <c r="AD993" s="2"/>
      <c r="AE993" s="2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4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</row>
    <row r="994" ht="15.75">
      <c r="A994" s="3"/>
      <c r="B994" s="2"/>
      <c r="C994" s="2"/>
      <c r="D994" s="2"/>
      <c r="E994" s="2"/>
      <c r="F994" s="2"/>
      <c r="G994" s="2"/>
      <c r="H994" s="2"/>
      <c r="I994" s="2"/>
      <c r="J994" s="3"/>
      <c r="K994" s="3"/>
      <c r="L994" s="3"/>
      <c r="M994" s="3"/>
      <c r="N994" s="3"/>
      <c r="O994" s="3"/>
      <c r="P994" s="3"/>
      <c r="Q994" s="3"/>
      <c r="R994" s="3"/>
      <c r="S994" s="2"/>
      <c r="T994" s="2"/>
      <c r="U994" s="2"/>
      <c r="V994" s="2"/>
      <c r="W994" s="2"/>
      <c r="X994" s="2"/>
      <c r="Y994" s="3"/>
      <c r="Z994" s="3"/>
      <c r="AA994" s="2"/>
      <c r="AB994" s="2"/>
      <c r="AC994" s="2"/>
      <c r="AD994" s="2"/>
      <c r="AE994" s="2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4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</row>
    <row r="995" ht="15.75">
      <c r="A995" s="3"/>
      <c r="B995" s="2"/>
      <c r="C995" s="2"/>
      <c r="D995" s="2"/>
      <c r="E995" s="2"/>
      <c r="F995" s="2"/>
      <c r="G995" s="2"/>
      <c r="H995" s="2"/>
      <c r="I995" s="2"/>
      <c r="J995" s="3"/>
      <c r="K995" s="3"/>
      <c r="L995" s="3"/>
      <c r="M995" s="3"/>
      <c r="N995" s="3"/>
      <c r="O995" s="3"/>
      <c r="P995" s="3"/>
      <c r="Q995" s="3"/>
      <c r="R995" s="3"/>
      <c r="S995" s="2"/>
      <c r="T995" s="2"/>
      <c r="U995" s="2"/>
      <c r="V995" s="2"/>
      <c r="W995" s="2"/>
      <c r="X995" s="2"/>
      <c r="Y995" s="3"/>
      <c r="Z995" s="3"/>
      <c r="AA995" s="2"/>
      <c r="AB995" s="2"/>
      <c r="AC995" s="2"/>
      <c r="AD995" s="2"/>
      <c r="AE995" s="2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4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</row>
    <row r="996" ht="15.75">
      <c r="A996" s="3"/>
      <c r="B996" s="2"/>
      <c r="C996" s="2"/>
      <c r="D996" s="2"/>
      <c r="E996" s="2"/>
      <c r="F996" s="2"/>
      <c r="G996" s="2"/>
      <c r="H996" s="2"/>
      <c r="I996" s="2"/>
      <c r="J996" s="3"/>
      <c r="K996" s="3"/>
      <c r="L996" s="3"/>
      <c r="M996" s="3"/>
      <c r="N996" s="3"/>
      <c r="O996" s="3"/>
      <c r="P996" s="3"/>
      <c r="Q996" s="3"/>
      <c r="R996" s="3"/>
      <c r="S996" s="2"/>
      <c r="T996" s="2"/>
      <c r="U996" s="2"/>
      <c r="V996" s="2"/>
      <c r="W996" s="2"/>
      <c r="X996" s="2"/>
      <c r="Y996" s="3"/>
      <c r="Z996" s="3"/>
      <c r="AA996" s="2"/>
      <c r="AB996" s="2"/>
      <c r="AC996" s="2"/>
      <c r="AD996" s="2"/>
      <c r="AE996" s="2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4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</row>
    <row r="997" ht="15.75">
      <c r="A997" s="3"/>
      <c r="B997" s="2"/>
      <c r="C997" s="2"/>
      <c r="D997" s="2"/>
      <c r="E997" s="2"/>
      <c r="F997" s="2"/>
      <c r="G997" s="2"/>
      <c r="H997" s="2"/>
      <c r="I997" s="2"/>
      <c r="J997" s="3"/>
      <c r="K997" s="3"/>
      <c r="L997" s="3"/>
      <c r="M997" s="3"/>
      <c r="N997" s="3"/>
      <c r="O997" s="3"/>
      <c r="P997" s="3"/>
      <c r="Q997" s="3"/>
      <c r="R997" s="3"/>
      <c r="S997" s="2"/>
      <c r="T997" s="2"/>
      <c r="U997" s="2"/>
      <c r="V997" s="2"/>
      <c r="W997" s="2"/>
      <c r="X997" s="2"/>
      <c r="Y997" s="3"/>
      <c r="Z997" s="3"/>
      <c r="AA997" s="2"/>
      <c r="AB997" s="2"/>
      <c r="AC997" s="2"/>
      <c r="AD997" s="2"/>
      <c r="AE997" s="2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4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</row>
    <row r="998" ht="15.75">
      <c r="A998" s="3"/>
      <c r="B998" s="2"/>
      <c r="C998" s="2"/>
      <c r="D998" s="2"/>
      <c r="E998" s="2"/>
      <c r="F998" s="2"/>
      <c r="G998" s="2"/>
      <c r="H998" s="2"/>
      <c r="I998" s="2"/>
      <c r="J998" s="3"/>
      <c r="K998" s="3"/>
      <c r="L998" s="3"/>
      <c r="M998" s="3"/>
      <c r="N998" s="3"/>
      <c r="O998" s="3"/>
      <c r="P998" s="3"/>
      <c r="Q998" s="3"/>
      <c r="R998" s="3"/>
      <c r="S998" s="2"/>
      <c r="T998" s="2"/>
      <c r="U998" s="2"/>
      <c r="V998" s="2"/>
      <c r="W998" s="2"/>
      <c r="X998" s="2"/>
      <c r="Y998" s="3"/>
      <c r="Z998" s="3"/>
      <c r="AA998" s="2"/>
      <c r="AB998" s="2"/>
      <c r="AC998" s="2"/>
      <c r="AD998" s="2"/>
      <c r="AE998" s="2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4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</row>
    <row r="999" ht="15.75">
      <c r="A999" s="3"/>
      <c r="B999" s="2"/>
      <c r="C999" s="2"/>
      <c r="D999" s="2"/>
      <c r="E999" s="2"/>
      <c r="F999" s="2"/>
      <c r="G999" s="2"/>
      <c r="H999" s="2"/>
      <c r="I999" s="2"/>
      <c r="J999" s="3"/>
      <c r="K999" s="3"/>
      <c r="L999" s="3"/>
      <c r="M999" s="3"/>
      <c r="N999" s="3"/>
      <c r="O999" s="3"/>
      <c r="P999" s="3"/>
      <c r="Q999" s="3"/>
      <c r="R999" s="3"/>
      <c r="S999" s="2"/>
      <c r="T999" s="2"/>
      <c r="U999" s="2"/>
      <c r="V999" s="2"/>
      <c r="W999" s="2"/>
      <c r="X999" s="2"/>
      <c r="Y999" s="3"/>
      <c r="Z999" s="3"/>
      <c r="AA999" s="2"/>
      <c r="AB999" s="2"/>
      <c r="AC999" s="2"/>
      <c r="AD999" s="2"/>
      <c r="AE999" s="2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4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</row>
    <row r="1000" ht="15.75">
      <c r="A1000" s="3"/>
      <c r="B1000" s="2"/>
      <c r="C1000" s="2"/>
      <c r="D1000" s="2"/>
      <c r="E1000" s="2"/>
      <c r="F1000" s="2"/>
      <c r="G1000" s="2"/>
      <c r="H1000" s="2"/>
      <c r="I1000" s="2"/>
      <c r="J1000" s="3"/>
      <c r="K1000" s="3"/>
      <c r="L1000" s="3"/>
      <c r="M1000" s="3"/>
      <c r="N1000" s="3"/>
      <c r="O1000" s="3"/>
      <c r="P1000" s="3"/>
      <c r="Q1000" s="3"/>
      <c r="R1000" s="3"/>
      <c r="S1000" s="2"/>
      <c r="T1000" s="2"/>
      <c r="U1000" s="2"/>
      <c r="V1000" s="2"/>
      <c r="W1000" s="2"/>
      <c r="X1000" s="2"/>
      <c r="Y1000" s="3"/>
      <c r="Z1000" s="3"/>
      <c r="AA1000" s="2"/>
      <c r="AB1000" s="2"/>
      <c r="AC1000" s="2"/>
      <c r="AD1000" s="2"/>
      <c r="AE1000" s="2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4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</row>
    <row r="1001" ht="15.75">
      <c r="A1001" s="3"/>
      <c r="B1001" s="2"/>
      <c r="C1001" s="2"/>
      <c r="D1001" s="2"/>
      <c r="E1001" s="2"/>
      <c r="F1001" s="2"/>
      <c r="G1001" s="2"/>
      <c r="H1001" s="2"/>
      <c r="I1001" s="2"/>
      <c r="J1001" s="3"/>
      <c r="K1001" s="3"/>
      <c r="L1001" s="3"/>
      <c r="M1001" s="3"/>
      <c r="N1001" s="3"/>
      <c r="O1001" s="3"/>
      <c r="P1001" s="3"/>
      <c r="Q1001" s="3"/>
      <c r="R1001" s="3"/>
      <c r="S1001" s="2"/>
      <c r="T1001" s="2"/>
      <c r="U1001" s="2"/>
      <c r="V1001" s="2"/>
      <c r="W1001" s="2"/>
      <c r="X1001" s="2"/>
      <c r="Y1001" s="3"/>
      <c r="Z1001" s="3"/>
      <c r="AA1001" s="2"/>
      <c r="AB1001" s="2"/>
      <c r="AC1001" s="2"/>
      <c r="AD1001" s="2"/>
      <c r="AE1001" s="2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4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</row>
    <row r="1002" ht="15.75">
      <c r="A1002" s="3"/>
      <c r="B1002" s="2"/>
      <c r="C1002" s="2"/>
      <c r="D1002" s="2"/>
      <c r="E1002" s="2"/>
      <c r="F1002" s="2"/>
      <c r="G1002" s="2"/>
      <c r="H1002" s="2"/>
      <c r="I1002" s="2"/>
      <c r="J1002" s="3"/>
      <c r="K1002" s="3"/>
      <c r="L1002" s="3"/>
      <c r="M1002" s="3"/>
      <c r="N1002" s="3"/>
      <c r="O1002" s="3"/>
      <c r="P1002" s="3"/>
      <c r="Q1002" s="3"/>
      <c r="R1002" s="3"/>
      <c r="S1002" s="2"/>
      <c r="T1002" s="2"/>
      <c r="U1002" s="2"/>
      <c r="V1002" s="2"/>
      <c r="W1002" s="2"/>
      <c r="X1002" s="2"/>
      <c r="Y1002" s="3"/>
      <c r="Z1002" s="3"/>
      <c r="AA1002" s="2"/>
      <c r="AB1002" s="2"/>
      <c r="AC1002" s="2"/>
      <c r="AD1002" s="2"/>
      <c r="AE1002" s="2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4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</row>
    <row r="1003" ht="15.75">
      <c r="A1003" s="3"/>
      <c r="B1003" s="2"/>
      <c r="C1003" s="2"/>
      <c r="D1003" s="2"/>
      <c r="E1003" s="2"/>
      <c r="F1003" s="2"/>
      <c r="G1003" s="2"/>
      <c r="H1003" s="2"/>
      <c r="I1003" s="2"/>
      <c r="J1003" s="3"/>
      <c r="K1003" s="3"/>
      <c r="L1003" s="3"/>
      <c r="M1003" s="3"/>
      <c r="N1003" s="3"/>
      <c r="O1003" s="3"/>
      <c r="P1003" s="3"/>
      <c r="Q1003" s="3"/>
      <c r="R1003" s="3"/>
      <c r="S1003" s="2"/>
      <c r="T1003" s="2"/>
      <c r="U1003" s="2"/>
      <c r="V1003" s="2"/>
      <c r="W1003" s="2"/>
      <c r="X1003" s="2"/>
      <c r="Y1003" s="3"/>
      <c r="Z1003" s="3"/>
      <c r="AA1003" s="2"/>
      <c r="AB1003" s="2"/>
      <c r="AC1003" s="2"/>
      <c r="AD1003" s="2"/>
      <c r="AE1003" s="2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4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</row>
    <row r="1004" ht="15.75">
      <c r="A1004" s="3"/>
      <c r="B1004" s="2"/>
      <c r="C1004" s="2"/>
      <c r="D1004" s="2"/>
      <c r="E1004" s="2"/>
      <c r="F1004" s="2"/>
      <c r="G1004" s="2"/>
      <c r="H1004" s="2"/>
      <c r="I1004" s="2"/>
      <c r="J1004" s="3"/>
      <c r="K1004" s="3"/>
      <c r="L1004" s="3"/>
      <c r="M1004" s="3"/>
      <c r="N1004" s="3"/>
      <c r="O1004" s="3"/>
      <c r="P1004" s="3"/>
      <c r="Q1004" s="3"/>
      <c r="R1004" s="3"/>
      <c r="S1004" s="2"/>
      <c r="T1004" s="2"/>
      <c r="U1004" s="2"/>
      <c r="V1004" s="2"/>
      <c r="W1004" s="2"/>
      <c r="X1004" s="2"/>
      <c r="Y1004" s="3"/>
      <c r="Z1004" s="3"/>
      <c r="AA1004" s="2"/>
      <c r="AB1004" s="2"/>
      <c r="AC1004" s="2"/>
      <c r="AD1004" s="2"/>
      <c r="AE1004" s="2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4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</row>
    <row r="1005" ht="15.75">
      <c r="A1005" s="3"/>
      <c r="B1005" s="2"/>
      <c r="C1005" s="2"/>
      <c r="D1005" s="2"/>
      <c r="E1005" s="2"/>
      <c r="F1005" s="2"/>
      <c r="G1005" s="2"/>
      <c r="H1005" s="2"/>
      <c r="I1005" s="2"/>
      <c r="J1005" s="3"/>
      <c r="K1005" s="3"/>
      <c r="L1005" s="3"/>
      <c r="M1005" s="3"/>
      <c r="N1005" s="3"/>
      <c r="O1005" s="3"/>
      <c r="P1005" s="3"/>
      <c r="Q1005" s="3"/>
      <c r="R1005" s="3"/>
      <c r="S1005" s="2"/>
      <c r="T1005" s="2"/>
      <c r="U1005" s="2"/>
      <c r="V1005" s="2"/>
      <c r="W1005" s="2"/>
      <c r="X1005" s="2"/>
      <c r="Y1005" s="3"/>
      <c r="Z1005" s="3"/>
      <c r="AA1005" s="2"/>
      <c r="AB1005" s="2"/>
      <c r="AC1005" s="2"/>
      <c r="AD1005" s="2"/>
      <c r="AE1005" s="2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4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</row>
    <row r="1006" ht="15.75">
      <c r="A1006" s="3"/>
      <c r="B1006" s="2"/>
      <c r="C1006" s="2"/>
      <c r="D1006" s="2"/>
      <c r="E1006" s="2"/>
      <c r="F1006" s="2"/>
      <c r="G1006" s="2"/>
      <c r="H1006" s="2"/>
      <c r="I1006" s="2"/>
      <c r="J1006" s="3"/>
      <c r="K1006" s="3"/>
      <c r="L1006" s="3"/>
      <c r="M1006" s="3"/>
      <c r="N1006" s="3"/>
      <c r="O1006" s="3"/>
      <c r="P1006" s="3"/>
      <c r="Q1006" s="3"/>
      <c r="R1006" s="3"/>
      <c r="S1006" s="2"/>
      <c r="T1006" s="2"/>
      <c r="U1006" s="2"/>
      <c r="V1006" s="2"/>
      <c r="W1006" s="2"/>
      <c r="X1006" s="2"/>
      <c r="Y1006" s="3"/>
      <c r="Z1006" s="3"/>
      <c r="AA1006" s="2"/>
      <c r="AB1006" s="2"/>
      <c r="AC1006" s="2"/>
      <c r="AD1006" s="2"/>
      <c r="AE1006" s="2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4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</row>
    <row r="1007" ht="15.75">
      <c r="A1007" s="3"/>
      <c r="B1007" s="2"/>
      <c r="C1007" s="2"/>
      <c r="D1007" s="2"/>
      <c r="E1007" s="2"/>
      <c r="F1007" s="2"/>
      <c r="G1007" s="2"/>
      <c r="H1007" s="2"/>
      <c r="I1007" s="2"/>
      <c r="J1007" s="3"/>
      <c r="K1007" s="3"/>
      <c r="L1007" s="3"/>
      <c r="M1007" s="3"/>
      <c r="N1007" s="3"/>
      <c r="O1007" s="3"/>
      <c r="P1007" s="3"/>
      <c r="Q1007" s="3"/>
      <c r="R1007" s="3"/>
      <c r="S1007" s="2"/>
      <c r="T1007" s="2"/>
      <c r="U1007" s="2"/>
      <c r="V1007" s="2"/>
      <c r="W1007" s="2"/>
      <c r="X1007" s="2"/>
      <c r="Y1007" s="3"/>
      <c r="Z1007" s="3"/>
      <c r="AA1007" s="2"/>
      <c r="AB1007" s="2"/>
      <c r="AC1007" s="2"/>
      <c r="AD1007" s="2"/>
      <c r="AE1007" s="2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4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</row>
    <row r="1008" ht="15.75">
      <c r="A1008" s="3"/>
      <c r="B1008" s="2"/>
      <c r="C1008" s="2"/>
      <c r="D1008" s="2"/>
      <c r="E1008" s="2"/>
      <c r="F1008" s="2"/>
      <c r="G1008" s="2"/>
      <c r="H1008" s="2"/>
      <c r="I1008" s="2"/>
      <c r="J1008" s="3"/>
      <c r="K1008" s="3"/>
      <c r="L1008" s="3"/>
      <c r="M1008" s="3"/>
      <c r="N1008" s="3"/>
      <c r="O1008" s="3"/>
      <c r="P1008" s="3"/>
      <c r="Q1008" s="3"/>
      <c r="R1008" s="3"/>
      <c r="S1008" s="2"/>
      <c r="T1008" s="2"/>
      <c r="U1008" s="2"/>
      <c r="V1008" s="2"/>
      <c r="W1008" s="2"/>
      <c r="X1008" s="2"/>
      <c r="Y1008" s="3"/>
      <c r="Z1008" s="3"/>
      <c r="AA1008" s="2"/>
      <c r="AB1008" s="2"/>
      <c r="AC1008" s="2"/>
      <c r="AD1008" s="2"/>
      <c r="AE1008" s="2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4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</row>
    <row r="1009" ht="15.75">
      <c r="A1009" s="3"/>
      <c r="B1009" s="2"/>
      <c r="C1009" s="2"/>
      <c r="D1009" s="2"/>
      <c r="E1009" s="2"/>
      <c r="F1009" s="2"/>
      <c r="G1009" s="2"/>
      <c r="H1009" s="2"/>
      <c r="I1009" s="2"/>
      <c r="J1009" s="3"/>
      <c r="K1009" s="3"/>
      <c r="L1009" s="3"/>
      <c r="M1009" s="3"/>
      <c r="N1009" s="3"/>
      <c r="O1009" s="3"/>
      <c r="P1009" s="3"/>
      <c r="Q1009" s="3"/>
      <c r="R1009" s="3"/>
      <c r="S1009" s="2"/>
      <c r="T1009" s="2"/>
      <c r="U1009" s="2"/>
      <c r="V1009" s="2"/>
      <c r="W1009" s="2"/>
      <c r="X1009" s="2"/>
      <c r="Y1009" s="3"/>
      <c r="Z1009" s="3"/>
      <c r="AA1009" s="2"/>
      <c r="AB1009" s="2"/>
      <c r="AC1009" s="2"/>
      <c r="AD1009" s="2"/>
      <c r="AE1009" s="2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4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</row>
    <row r="1010" ht="15.75">
      <c r="A1010" s="3"/>
      <c r="B1010" s="2"/>
      <c r="C1010" s="2"/>
      <c r="D1010" s="2"/>
      <c r="E1010" s="2"/>
      <c r="F1010" s="2"/>
      <c r="G1010" s="2"/>
      <c r="H1010" s="2"/>
      <c r="I1010" s="2"/>
      <c r="J1010" s="3"/>
      <c r="K1010" s="3"/>
      <c r="L1010" s="3"/>
      <c r="M1010" s="3"/>
      <c r="N1010" s="3"/>
      <c r="O1010" s="3"/>
      <c r="P1010" s="3"/>
      <c r="Q1010" s="3"/>
      <c r="R1010" s="3"/>
      <c r="S1010" s="2"/>
      <c r="T1010" s="2"/>
      <c r="U1010" s="2"/>
      <c r="V1010" s="2"/>
      <c r="W1010" s="2"/>
      <c r="X1010" s="2"/>
      <c r="Y1010" s="3"/>
      <c r="Z1010" s="3"/>
      <c r="AA1010" s="2"/>
      <c r="AB1010" s="2"/>
      <c r="AC1010" s="2"/>
      <c r="AD1010" s="2"/>
      <c r="AE1010" s="2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4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</row>
    <row r="1011" ht="15.75">
      <c r="A1011" s="3"/>
      <c r="B1011" s="2"/>
      <c r="C1011" s="2"/>
      <c r="D1011" s="2"/>
      <c r="E1011" s="2"/>
      <c r="F1011" s="2"/>
      <c r="G1011" s="2"/>
      <c r="H1011" s="2"/>
      <c r="I1011" s="2"/>
      <c r="J1011" s="3"/>
      <c r="K1011" s="3"/>
      <c r="L1011" s="3"/>
      <c r="M1011" s="3"/>
      <c r="N1011" s="3"/>
      <c r="O1011" s="3"/>
      <c r="P1011" s="3"/>
      <c r="Q1011" s="3"/>
      <c r="R1011" s="3"/>
      <c r="S1011" s="2"/>
      <c r="T1011" s="2"/>
      <c r="U1011" s="2"/>
      <c r="V1011" s="2"/>
      <c r="W1011" s="2"/>
      <c r="X1011" s="2"/>
      <c r="Y1011" s="3"/>
      <c r="Z1011" s="3"/>
      <c r="AA1011" s="2"/>
      <c r="AB1011" s="2"/>
      <c r="AC1011" s="2"/>
      <c r="AD1011" s="2"/>
      <c r="AE1011" s="2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4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</row>
    <row r="1012" ht="15.75">
      <c r="A1012" s="3"/>
      <c r="B1012" s="2"/>
      <c r="C1012" s="2"/>
      <c r="D1012" s="2"/>
      <c r="E1012" s="2"/>
      <c r="F1012" s="2"/>
      <c r="G1012" s="2"/>
      <c r="H1012" s="2"/>
      <c r="I1012" s="2"/>
      <c r="J1012" s="3"/>
      <c r="K1012" s="3"/>
      <c r="L1012" s="3"/>
      <c r="M1012" s="3"/>
      <c r="N1012" s="3"/>
      <c r="O1012" s="3"/>
      <c r="P1012" s="3"/>
      <c r="Q1012" s="3"/>
      <c r="R1012" s="3"/>
      <c r="S1012" s="2"/>
      <c r="T1012" s="2"/>
      <c r="U1012" s="2"/>
      <c r="V1012" s="2"/>
      <c r="W1012" s="2"/>
      <c r="X1012" s="2"/>
      <c r="Y1012" s="3"/>
      <c r="Z1012" s="3"/>
      <c r="AA1012" s="2"/>
      <c r="AB1012" s="2"/>
      <c r="AC1012" s="2"/>
      <c r="AD1012" s="2"/>
      <c r="AE1012" s="2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4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</row>
    <row r="1013" ht="15.75">
      <c r="A1013" s="3"/>
      <c r="B1013" s="2"/>
      <c r="C1013" s="2"/>
      <c r="D1013" s="2"/>
      <c r="E1013" s="2"/>
      <c r="F1013" s="2"/>
      <c r="G1013" s="2"/>
      <c r="H1013" s="2"/>
      <c r="I1013" s="2"/>
      <c r="J1013" s="3"/>
      <c r="K1013" s="3"/>
      <c r="L1013" s="3"/>
      <c r="M1013" s="3"/>
      <c r="N1013" s="3"/>
      <c r="O1013" s="3"/>
      <c r="P1013" s="3"/>
      <c r="Q1013" s="3"/>
      <c r="R1013" s="3"/>
      <c r="S1013" s="2"/>
      <c r="T1013" s="2"/>
      <c r="U1013" s="2"/>
      <c r="V1013" s="2"/>
      <c r="W1013" s="2"/>
      <c r="X1013" s="2"/>
      <c r="Y1013" s="3"/>
      <c r="Z1013" s="3"/>
      <c r="AA1013" s="2"/>
      <c r="AB1013" s="2"/>
      <c r="AC1013" s="2"/>
      <c r="AD1013" s="2"/>
      <c r="AE1013" s="2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4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</row>
    <row r="1014" ht="15.75">
      <c r="A1014" s="3"/>
      <c r="B1014" s="2"/>
      <c r="C1014" s="2"/>
      <c r="D1014" s="2"/>
      <c r="E1014" s="2"/>
      <c r="F1014" s="2"/>
      <c r="G1014" s="2"/>
      <c r="H1014" s="2"/>
      <c r="I1014" s="2"/>
      <c r="J1014" s="3"/>
      <c r="K1014" s="3"/>
      <c r="L1014" s="3"/>
      <c r="M1014" s="3"/>
      <c r="N1014" s="3"/>
      <c r="O1014" s="3"/>
      <c r="P1014" s="3"/>
      <c r="Q1014" s="3"/>
      <c r="R1014" s="3"/>
      <c r="S1014" s="2"/>
      <c r="T1014" s="2"/>
      <c r="U1014" s="2"/>
      <c r="V1014" s="2"/>
      <c r="W1014" s="2"/>
      <c r="X1014" s="2"/>
      <c r="Y1014" s="3"/>
      <c r="Z1014" s="3"/>
      <c r="AA1014" s="2"/>
      <c r="AB1014" s="2"/>
      <c r="AC1014" s="2"/>
      <c r="AD1014" s="2"/>
      <c r="AE1014" s="2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4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</row>
    <row r="1015" ht="15.75">
      <c r="A1015" s="3"/>
      <c r="B1015" s="2"/>
      <c r="C1015" s="2"/>
      <c r="D1015" s="2"/>
      <c r="E1015" s="2"/>
      <c r="F1015" s="2"/>
      <c r="G1015" s="2"/>
      <c r="H1015" s="2"/>
      <c r="I1015" s="2"/>
      <c r="J1015" s="3"/>
      <c r="K1015" s="3"/>
      <c r="L1015" s="3"/>
      <c r="M1015" s="3"/>
      <c r="N1015" s="3"/>
      <c r="O1015" s="3"/>
      <c r="P1015" s="3"/>
      <c r="Q1015" s="3"/>
      <c r="R1015" s="3"/>
      <c r="S1015" s="2"/>
      <c r="T1015" s="2"/>
      <c r="U1015" s="2"/>
      <c r="V1015" s="2"/>
      <c r="W1015" s="2"/>
      <c r="X1015" s="2"/>
      <c r="Y1015" s="3"/>
      <c r="Z1015" s="3"/>
      <c r="AA1015" s="2"/>
      <c r="AB1015" s="2"/>
      <c r="AC1015" s="2"/>
      <c r="AD1015" s="2"/>
      <c r="AE1015" s="2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4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</row>
    <row r="1016" ht="15.75">
      <c r="A1016" s="3"/>
      <c r="B1016" s="2"/>
      <c r="C1016" s="2"/>
      <c r="D1016" s="2"/>
      <c r="E1016" s="2"/>
      <c r="F1016" s="2"/>
      <c r="G1016" s="2"/>
      <c r="H1016" s="2"/>
      <c r="I1016" s="2"/>
      <c r="J1016" s="3"/>
      <c r="K1016" s="3"/>
      <c r="L1016" s="3"/>
      <c r="M1016" s="3"/>
      <c r="N1016" s="3"/>
      <c r="O1016" s="3"/>
      <c r="P1016" s="3"/>
      <c r="Q1016" s="3"/>
      <c r="R1016" s="3"/>
      <c r="S1016" s="2"/>
      <c r="T1016" s="2"/>
      <c r="U1016" s="2"/>
      <c r="V1016" s="2"/>
      <c r="W1016" s="2"/>
      <c r="X1016" s="2"/>
      <c r="Y1016" s="3"/>
      <c r="Z1016" s="3"/>
      <c r="AA1016" s="2"/>
      <c r="AB1016" s="2"/>
      <c r="AC1016" s="2"/>
      <c r="AD1016" s="2"/>
      <c r="AE1016" s="2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4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</row>
    <row r="1017" ht="15.75">
      <c r="A1017" s="3"/>
      <c r="B1017" s="2"/>
      <c r="C1017" s="2"/>
      <c r="D1017" s="2"/>
      <c r="E1017" s="2"/>
      <c r="F1017" s="2"/>
      <c r="G1017" s="2"/>
      <c r="H1017" s="2"/>
      <c r="I1017" s="2"/>
      <c r="J1017" s="3"/>
      <c r="K1017" s="3"/>
      <c r="L1017" s="3"/>
      <c r="M1017" s="3"/>
      <c r="N1017" s="3"/>
      <c r="O1017" s="3"/>
      <c r="P1017" s="3"/>
      <c r="Q1017" s="3"/>
      <c r="R1017" s="3"/>
      <c r="S1017" s="2"/>
      <c r="T1017" s="2"/>
      <c r="U1017" s="2"/>
      <c r="V1017" s="2"/>
      <c r="W1017" s="2"/>
      <c r="X1017" s="2"/>
      <c r="Y1017" s="3"/>
      <c r="Z1017" s="3"/>
      <c r="AA1017" s="2"/>
      <c r="AB1017" s="2"/>
      <c r="AC1017" s="2"/>
      <c r="AD1017" s="2"/>
      <c r="AE1017" s="2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4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</row>
    <row r="1018" ht="15.75">
      <c r="A1018" s="3"/>
      <c r="B1018" s="2"/>
      <c r="C1018" s="2"/>
      <c r="D1018" s="2"/>
      <c r="E1018" s="2"/>
      <c r="F1018" s="2"/>
      <c r="G1018" s="2"/>
      <c r="H1018" s="2"/>
      <c r="I1018" s="2"/>
      <c r="J1018" s="3"/>
      <c r="K1018" s="3"/>
      <c r="L1018" s="3"/>
      <c r="M1018" s="3"/>
      <c r="N1018" s="3"/>
      <c r="O1018" s="3"/>
      <c r="P1018" s="3"/>
      <c r="Q1018" s="3"/>
      <c r="R1018" s="3"/>
      <c r="S1018" s="2"/>
      <c r="T1018" s="2"/>
      <c r="U1018" s="2"/>
      <c r="V1018" s="2"/>
      <c r="W1018" s="2"/>
      <c r="X1018" s="2"/>
      <c r="Y1018" s="3"/>
      <c r="Z1018" s="3"/>
      <c r="AA1018" s="2"/>
      <c r="AB1018" s="2"/>
      <c r="AC1018" s="2"/>
      <c r="AD1018" s="2"/>
      <c r="AE1018" s="2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4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</row>
  </sheetData>
  <mergeCells>
    <mergeCell ref="FK4:FK5"/>
    <mergeCell ref="FL4:FL5"/>
    <mergeCell ref="FM4:FN4"/>
    <mergeCell ref="FO4:FO5"/>
    <mergeCell ref="FP4:FP5"/>
    <mergeCell ref="FQ4:FQ5"/>
    <mergeCell ref="FR4:FR5"/>
    <mergeCell ref="EZ4:FA4"/>
    <mergeCell ref="FB4:FB5"/>
    <mergeCell ref="FC4:FC5"/>
    <mergeCell ref="FD4:FD5"/>
    <mergeCell ref="FE4:FE5"/>
    <mergeCell ref="FF4:FF5"/>
    <mergeCell ref="FG4:FH4"/>
    <mergeCell ref="FI4:FI5"/>
    <mergeCell ref="FJ4:FJ5"/>
    <mergeCell ref="EP4:EP5"/>
    <mergeCell ref="EQ4:EQ5"/>
    <mergeCell ref="ER4:ER5"/>
    <mergeCell ref="ES4:ES5"/>
    <mergeCell ref="ET4:EU4"/>
    <mergeCell ref="EV4:EV5"/>
    <mergeCell ref="EW4:EW5"/>
    <mergeCell ref="EX4:EX5"/>
    <mergeCell ref="EY4:EY5"/>
    <mergeCell ref="EE4:EE5"/>
    <mergeCell ref="EF4:EG4"/>
    <mergeCell ref="EH4:EH5"/>
    <mergeCell ref="EI4:EI5"/>
    <mergeCell ref="EJ4:EJ5"/>
    <mergeCell ref="EK4:EK5"/>
    <mergeCell ref="EL4:EL5"/>
    <mergeCell ref="EM4:EN4"/>
    <mergeCell ref="EO4:EO5"/>
    <mergeCell ref="GC4:GC5"/>
    <mergeCell ref="GD4:GD5"/>
    <mergeCell ref="GE4:GE5"/>
    <mergeCell ref="FS4:FT4"/>
    <mergeCell ref="FU4:FU5"/>
    <mergeCell ref="FV4:FV5"/>
    <mergeCell ref="FW4:FW5"/>
    <mergeCell ref="FX4:FX5"/>
    <mergeCell ref="FY4:FY5"/>
    <mergeCell ref="FZ4:GA4"/>
    <mergeCell ref="DE4:DE5"/>
    <mergeCell ref="DF4:DF5"/>
    <mergeCell ref="DG4:DG5"/>
    <mergeCell ref="DH4:DH5"/>
    <mergeCell ref="DI4:DI5"/>
    <mergeCell ref="DJ4:DK4"/>
    <mergeCell ref="DL4:DL5"/>
    <mergeCell ref="DM4:DM5"/>
    <mergeCell ref="GB4:GB5"/>
    <mergeCell ref="DN4:DN5"/>
    <mergeCell ref="DO4:DO5"/>
    <mergeCell ref="DP4:DP5"/>
    <mergeCell ref="DQ4:DR4"/>
    <mergeCell ref="DS4:DS5"/>
    <mergeCell ref="DT4:DT5"/>
    <mergeCell ref="DU4:DU5"/>
    <mergeCell ref="DV4:DV5"/>
    <mergeCell ref="DW4:DW5"/>
    <mergeCell ref="DX4:DY4"/>
    <mergeCell ref="DZ4:DZ5"/>
    <mergeCell ref="EA4:EA5"/>
    <mergeCell ref="EB4:EB5"/>
    <mergeCell ref="EC4:EC5"/>
    <mergeCell ref="ED4:ED5"/>
    <mergeCell ref="CT4:CT5"/>
    <mergeCell ref="CU4:CV4"/>
    <mergeCell ref="CW4:CW5"/>
    <mergeCell ref="CX4:CX5"/>
    <mergeCell ref="CY4:CY5"/>
    <mergeCell ref="CZ4:CZ5"/>
    <mergeCell ref="DA4:DA5"/>
    <mergeCell ref="DB4:DC4"/>
    <mergeCell ref="DD4:DD5"/>
    <mergeCell ref="CJ4:CJ5"/>
    <mergeCell ref="CK4:CK5"/>
    <mergeCell ref="CL4:CL5"/>
    <mergeCell ref="CM4:CM5"/>
    <mergeCell ref="CN4:CO4"/>
    <mergeCell ref="CP4:CP5"/>
    <mergeCell ref="CQ4:CQ5"/>
    <mergeCell ref="CR4:CR5"/>
    <mergeCell ref="CS4:CS5"/>
    <mergeCell ref="BY4:BZ4"/>
    <mergeCell ref="CA4:CA5"/>
    <mergeCell ref="CB4:CB5"/>
    <mergeCell ref="CC4:CC5"/>
    <mergeCell ref="CD4:CD5"/>
    <mergeCell ref="CE4:CE5"/>
    <mergeCell ref="CF4:CG4"/>
    <mergeCell ref="CH4:CH5"/>
    <mergeCell ref="CI4:CI5"/>
    <mergeCell ref="BN4:BN5"/>
    <mergeCell ref="BO4:BO5"/>
    <mergeCell ref="BP4:BP5"/>
    <mergeCell ref="BQ4:BR4"/>
    <mergeCell ref="BS4:BS5"/>
    <mergeCell ref="BT4:BT5"/>
    <mergeCell ref="BU4:BU5"/>
    <mergeCell ref="BV4:BV5"/>
    <mergeCell ref="BW4:BW5"/>
    <mergeCell ref="BB4:BC4"/>
    <mergeCell ref="BD4:BD5"/>
    <mergeCell ref="BE4:BE5"/>
    <mergeCell ref="BF4:BF5"/>
    <mergeCell ref="BG4:BG5"/>
    <mergeCell ref="BH4:BH5"/>
    <mergeCell ref="BJ4:BK4"/>
    <mergeCell ref="BL4:BL5"/>
    <mergeCell ref="BM4:BM5"/>
    <mergeCell ref="AQ4:AQ5"/>
    <mergeCell ref="AR4:AR5"/>
    <mergeCell ref="AS4:AS5"/>
    <mergeCell ref="AT4:AU4"/>
    <mergeCell ref="AV4:AV5"/>
    <mergeCell ref="AW4:AW5"/>
    <mergeCell ref="AX4:AX5"/>
    <mergeCell ref="AY4:AY5"/>
    <mergeCell ref="AZ4:AZ5"/>
    <mergeCell ref="AF4:AG4"/>
    <mergeCell ref="AH4:AH5"/>
    <mergeCell ref="AI4:AI5"/>
    <mergeCell ref="AJ4:AJ5"/>
    <mergeCell ref="AK4:AK5"/>
    <mergeCell ref="AL4:AL5"/>
    <mergeCell ref="AM4:AN4"/>
    <mergeCell ref="AO4:AO5"/>
    <mergeCell ref="AP4:AP5"/>
    <mergeCell ref="V4:V5"/>
    <mergeCell ref="W4:W5"/>
    <mergeCell ref="X4:X5"/>
    <mergeCell ref="Y4:Z4"/>
    <mergeCell ref="AA4:AA5"/>
    <mergeCell ref="AB4:AB5"/>
    <mergeCell ref="AC4:AC5"/>
    <mergeCell ref="AD4:AD5"/>
    <mergeCell ref="AE4:AE5"/>
    <mergeCell ref="L4:L5"/>
    <mergeCell ref="M4:M5"/>
    <mergeCell ref="N4:N5"/>
    <mergeCell ref="O4:O5"/>
    <mergeCell ref="P4:P5"/>
    <mergeCell ref="Q4:R4"/>
    <mergeCell ref="S4:S5"/>
    <mergeCell ref="T4:T5"/>
    <mergeCell ref="U4:U5"/>
    <mergeCell ref="A4:A5"/>
    <mergeCell ref="B4:C4"/>
    <mergeCell ref="D4:D5"/>
    <mergeCell ref="E4:E5"/>
    <mergeCell ref="F4:F5"/>
    <mergeCell ref="G4:G5"/>
    <mergeCell ref="H4:H5"/>
    <mergeCell ref="I4:I5"/>
    <mergeCell ref="J4:K4"/>
  </mergeCells>
  <hyperlinks>
    <hyperlink ref="A1" location="gid=1696649339"/>
    <hyperlink ref="EZ1" location="gid=0"/>
  </hyperlinks>
  <pageMargins left="0.699999988079071" top="0.75" right="0.699999988079071" bottom="0.75" header="0.300000011920929" footer="0.300000011920929"/>
  <pageSetup orientation="default" fitToHeight="0" fitToWidth="0" cellComments="none"/>
  <drawing r:id="rId1"/>
  <legacyDrawing r:id="rId2"/>
</worksheet>
</file>